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currier\Dropbox (Personal)\me\ajar\CompSci\Machine Learning\"/>
    </mc:Choice>
  </mc:AlternateContent>
  <xr:revisionPtr revIDLastSave="0" documentId="13_ncr:1_{187AFC2F-6B75-493B-864B-60AC63006D8B}" xr6:coauthVersionLast="40" xr6:coauthVersionMax="40" xr10:uidLastSave="{00000000-0000-0000-0000-000000000000}"/>
  <bookViews>
    <workbookView xWindow="14985" yWindow="0" windowWidth="27135" windowHeight="12810" activeTab="2" xr2:uid="{FFE248C8-939E-460B-9DDF-5F88ADB0C23D}"/>
  </bookViews>
  <sheets>
    <sheet name="Series_K" sheetId="7" r:id="rId1"/>
    <sheet name="XOR_2" sheetId="6" r:id="rId2"/>
    <sheet name="RGB (3)" sheetId="5" r:id="rId3"/>
    <sheet name="RGB (2)" sheetId="4" r:id="rId4"/>
    <sheet name="RGB" sheetId="3" r:id="rId5"/>
    <sheet name="XOR" sheetId="1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7" l="1"/>
  <c r="C2" i="7" s="1"/>
  <c r="E2" i="7" s="1"/>
  <c r="B3" i="7"/>
  <c r="M26" i="7"/>
  <c r="M25" i="7"/>
  <c r="M24" i="7"/>
  <c r="M23" i="7"/>
  <c r="X13" i="7" l="1"/>
  <c r="C3" i="7"/>
  <c r="AJ35" i="1"/>
  <c r="AJ34" i="1"/>
  <c r="AJ33" i="1"/>
  <c r="AJ32" i="1"/>
  <c r="AJ31" i="1"/>
  <c r="AJ30" i="1"/>
  <c r="AJ29" i="1"/>
  <c r="AJ28" i="1"/>
  <c r="AJ27" i="1"/>
  <c r="AJ26" i="1"/>
  <c r="AJ25" i="1"/>
  <c r="AJ24" i="1"/>
  <c r="AJ23" i="1"/>
  <c r="AJ22" i="1"/>
  <c r="AJ21" i="1"/>
  <c r="AJ20" i="1"/>
  <c r="AJ19" i="1"/>
  <c r="AJ18" i="1"/>
  <c r="AJ17" i="1"/>
  <c r="AJ16" i="1"/>
  <c r="AJ15" i="1"/>
  <c r="AJ14" i="1"/>
  <c r="AJ13" i="1"/>
  <c r="AJ12" i="1"/>
  <c r="AJ11" i="1"/>
  <c r="AJ10" i="1"/>
  <c r="AJ9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9" i="1"/>
  <c r="Y10" i="1"/>
  <c r="Q14" i="1"/>
  <c r="X15" i="1" s="1"/>
  <c r="W16" i="1" s="1"/>
  <c r="V17" i="1" s="1"/>
  <c r="U18" i="1" s="1"/>
  <c r="T19" i="1" s="1"/>
  <c r="S20" i="1" s="1"/>
  <c r="R21" i="1" s="1"/>
  <c r="Q22" i="1" s="1"/>
  <c r="X23" i="1" s="1"/>
  <c r="W24" i="1" s="1"/>
  <c r="V25" i="1" s="1"/>
  <c r="U26" i="1" s="1"/>
  <c r="T27" i="1" s="1"/>
  <c r="S28" i="1" s="1"/>
  <c r="R29" i="1" s="1"/>
  <c r="Q30" i="1" s="1"/>
  <c r="X31" i="1" s="1"/>
  <c r="W32" i="1" s="1"/>
  <c r="V33" i="1" s="1"/>
  <c r="U34" i="1" s="1"/>
  <c r="T35" i="1" s="1"/>
  <c r="R13" i="1"/>
  <c r="Q13" i="1"/>
  <c r="X14" i="1" s="1"/>
  <c r="W15" i="1" s="1"/>
  <c r="V16" i="1" s="1"/>
  <c r="U17" i="1" s="1"/>
  <c r="T18" i="1" s="1"/>
  <c r="S19" i="1" s="1"/>
  <c r="R20" i="1" s="1"/>
  <c r="Q21" i="1" s="1"/>
  <c r="X22" i="1" s="1"/>
  <c r="W23" i="1" s="1"/>
  <c r="V24" i="1" s="1"/>
  <c r="U25" i="1" s="1"/>
  <c r="T26" i="1" s="1"/>
  <c r="S27" i="1" s="1"/>
  <c r="R28" i="1" s="1"/>
  <c r="Q29" i="1" s="1"/>
  <c r="X30" i="1" s="1"/>
  <c r="W31" i="1" s="1"/>
  <c r="V32" i="1" s="1"/>
  <c r="U33" i="1" s="1"/>
  <c r="T34" i="1" s="1"/>
  <c r="S35" i="1" s="1"/>
  <c r="W12" i="1"/>
  <c r="V13" i="1" s="1"/>
  <c r="U14" i="1" s="1"/>
  <c r="T15" i="1" s="1"/>
  <c r="S16" i="1" s="1"/>
  <c r="R17" i="1" s="1"/>
  <c r="Q18" i="1" s="1"/>
  <c r="X19" i="1" s="1"/>
  <c r="W20" i="1" s="1"/>
  <c r="V21" i="1" s="1"/>
  <c r="U22" i="1" s="1"/>
  <c r="T23" i="1" s="1"/>
  <c r="S24" i="1" s="1"/>
  <c r="R25" i="1" s="1"/>
  <c r="Q26" i="1" s="1"/>
  <c r="X27" i="1" s="1"/>
  <c r="W28" i="1" s="1"/>
  <c r="V29" i="1" s="1"/>
  <c r="U30" i="1" s="1"/>
  <c r="T31" i="1" s="1"/>
  <c r="S32" i="1" s="1"/>
  <c r="R33" i="1" s="1"/>
  <c r="Q34" i="1" s="1"/>
  <c r="X35" i="1" s="1"/>
  <c r="V12" i="1"/>
  <c r="U13" i="1" s="1"/>
  <c r="T14" i="1" s="1"/>
  <c r="S15" i="1" s="1"/>
  <c r="R16" i="1" s="1"/>
  <c r="Q17" i="1" s="1"/>
  <c r="X18" i="1" s="1"/>
  <c r="W19" i="1" s="1"/>
  <c r="V20" i="1" s="1"/>
  <c r="U21" i="1" s="1"/>
  <c r="T22" i="1" s="1"/>
  <c r="S23" i="1" s="1"/>
  <c r="R24" i="1" s="1"/>
  <c r="Q25" i="1" s="1"/>
  <c r="X26" i="1" s="1"/>
  <c r="W27" i="1" s="1"/>
  <c r="V28" i="1" s="1"/>
  <c r="U29" i="1" s="1"/>
  <c r="T30" i="1" s="1"/>
  <c r="S31" i="1" s="1"/>
  <c r="R32" i="1" s="1"/>
  <c r="Q33" i="1" s="1"/>
  <c r="X34" i="1" s="1"/>
  <c r="W35" i="1" s="1"/>
  <c r="U12" i="1"/>
  <c r="T13" i="1" s="1"/>
  <c r="S14" i="1" s="1"/>
  <c r="R15" i="1" s="1"/>
  <c r="Q16" i="1" s="1"/>
  <c r="X17" i="1" s="1"/>
  <c r="W18" i="1" s="1"/>
  <c r="V19" i="1" s="1"/>
  <c r="U20" i="1" s="1"/>
  <c r="T21" i="1" s="1"/>
  <c r="S22" i="1" s="1"/>
  <c r="R23" i="1" s="1"/>
  <c r="Q24" i="1" s="1"/>
  <c r="X25" i="1" s="1"/>
  <c r="W26" i="1" s="1"/>
  <c r="V27" i="1" s="1"/>
  <c r="U28" i="1" s="1"/>
  <c r="T29" i="1" s="1"/>
  <c r="S30" i="1" s="1"/>
  <c r="R31" i="1" s="1"/>
  <c r="Q32" i="1" s="1"/>
  <c r="X33" i="1" s="1"/>
  <c r="W34" i="1" s="1"/>
  <c r="V35" i="1" s="1"/>
  <c r="S12" i="1"/>
  <c r="R12" i="1"/>
  <c r="Q12" i="1"/>
  <c r="X13" i="1" s="1"/>
  <c r="W14" i="1" s="1"/>
  <c r="V15" i="1" s="1"/>
  <c r="U16" i="1" s="1"/>
  <c r="T17" i="1" s="1"/>
  <c r="S18" i="1" s="1"/>
  <c r="R19" i="1" s="1"/>
  <c r="Q20" i="1" s="1"/>
  <c r="X21" i="1" s="1"/>
  <c r="W22" i="1" s="1"/>
  <c r="V23" i="1" s="1"/>
  <c r="U24" i="1" s="1"/>
  <c r="T25" i="1" s="1"/>
  <c r="S26" i="1" s="1"/>
  <c r="R27" i="1" s="1"/>
  <c r="Q28" i="1" s="1"/>
  <c r="X29" i="1" s="1"/>
  <c r="W30" i="1" s="1"/>
  <c r="V31" i="1" s="1"/>
  <c r="U32" i="1" s="1"/>
  <c r="T33" i="1" s="1"/>
  <c r="S34" i="1" s="1"/>
  <c r="R35" i="1" s="1"/>
  <c r="X11" i="1"/>
  <c r="W11" i="1"/>
  <c r="V11" i="1"/>
  <c r="U11" i="1"/>
  <c r="T12" i="1" s="1"/>
  <c r="S13" i="1" s="1"/>
  <c r="R14" i="1" s="1"/>
  <c r="Q15" i="1" s="1"/>
  <c r="X16" i="1" s="1"/>
  <c r="W17" i="1" s="1"/>
  <c r="V18" i="1" s="1"/>
  <c r="U19" i="1" s="1"/>
  <c r="T20" i="1" s="1"/>
  <c r="S21" i="1" s="1"/>
  <c r="R22" i="1" s="1"/>
  <c r="Q23" i="1" s="1"/>
  <c r="X24" i="1" s="1"/>
  <c r="W25" i="1" s="1"/>
  <c r="V26" i="1" s="1"/>
  <c r="U27" i="1" s="1"/>
  <c r="T28" i="1" s="1"/>
  <c r="S29" i="1" s="1"/>
  <c r="R30" i="1" s="1"/>
  <c r="Q31" i="1" s="1"/>
  <c r="X32" i="1" s="1"/>
  <c r="W33" i="1" s="1"/>
  <c r="V34" i="1" s="1"/>
  <c r="U35" i="1" s="1"/>
  <c r="T11" i="1"/>
  <c r="S11" i="1"/>
  <c r="R11" i="1"/>
  <c r="Q11" i="1"/>
  <c r="X12" i="1" s="1"/>
  <c r="W13" i="1" s="1"/>
  <c r="V14" i="1" s="1"/>
  <c r="U15" i="1" s="1"/>
  <c r="T16" i="1" s="1"/>
  <c r="S17" i="1" s="1"/>
  <c r="R18" i="1" s="1"/>
  <c r="Q19" i="1" s="1"/>
  <c r="X20" i="1" s="1"/>
  <c r="W21" i="1" s="1"/>
  <c r="V22" i="1" s="1"/>
  <c r="U23" i="1" s="1"/>
  <c r="T24" i="1" s="1"/>
  <c r="S25" i="1" s="1"/>
  <c r="R26" i="1" s="1"/>
  <c r="Q27" i="1" s="1"/>
  <c r="X28" i="1" s="1"/>
  <c r="W29" i="1" s="1"/>
  <c r="V30" i="1" s="1"/>
  <c r="U31" i="1" s="1"/>
  <c r="T32" i="1" s="1"/>
  <c r="S33" i="1" s="1"/>
  <c r="R34" i="1" s="1"/>
  <c r="Q35" i="1" s="1"/>
  <c r="AB10" i="1"/>
  <c r="AC10" i="1"/>
  <c r="W10" i="1"/>
  <c r="V10" i="1"/>
  <c r="U10" i="1"/>
  <c r="T10" i="1"/>
  <c r="S10" i="1"/>
  <c r="R10" i="1"/>
  <c r="Q10" i="1"/>
  <c r="X10" i="1"/>
  <c r="T2" i="6"/>
  <c r="M3" i="6"/>
  <c r="M2" i="6"/>
  <c r="M4" i="5"/>
  <c r="M3" i="5"/>
  <c r="M2" i="5"/>
  <c r="T2" i="5"/>
  <c r="U2" i="5" s="1"/>
  <c r="B2" i="5" s="1"/>
  <c r="Q2" i="4"/>
  <c r="W2" i="4" s="1"/>
  <c r="I4" i="4" s="1"/>
  <c r="I10" i="4" s="1"/>
  <c r="C2" i="4"/>
  <c r="H184" i="3"/>
  <c r="X14" i="7" l="1"/>
  <c r="C4" i="7"/>
  <c r="X15" i="7" s="1"/>
  <c r="AG10" i="1"/>
  <c r="AF11" i="1" s="1"/>
  <c r="AE12" i="1" s="1"/>
  <c r="AD13" i="1" s="1"/>
  <c r="AC14" i="1" s="1"/>
  <c r="AB15" i="1" s="1"/>
  <c r="AI16" i="1" s="1"/>
  <c r="AH17" i="1" s="1"/>
  <c r="AG18" i="1" s="1"/>
  <c r="AF19" i="1" s="1"/>
  <c r="AE20" i="1" s="1"/>
  <c r="AD21" i="1" s="1"/>
  <c r="AC22" i="1" s="1"/>
  <c r="AB23" i="1" s="1"/>
  <c r="AI24" i="1" s="1"/>
  <c r="AH25" i="1" s="1"/>
  <c r="AG26" i="1" s="1"/>
  <c r="AF27" i="1" s="1"/>
  <c r="AE28" i="1" s="1"/>
  <c r="AD29" i="1" s="1"/>
  <c r="AC30" i="1" s="1"/>
  <c r="AB31" i="1" s="1"/>
  <c r="AH10" i="1"/>
  <c r="AG11" i="1" s="1"/>
  <c r="AF12" i="1" s="1"/>
  <c r="AE13" i="1" s="1"/>
  <c r="AD14" i="1" s="1"/>
  <c r="AC15" i="1" s="1"/>
  <c r="AB16" i="1" s="1"/>
  <c r="AI17" i="1" s="1"/>
  <c r="AH18" i="1" s="1"/>
  <c r="AG19" i="1" s="1"/>
  <c r="AF20" i="1" s="1"/>
  <c r="AE21" i="1" s="1"/>
  <c r="AD22" i="1" s="1"/>
  <c r="AC23" i="1" s="1"/>
  <c r="AB24" i="1" s="1"/>
  <c r="AD10" i="1"/>
  <c r="AC11" i="1" s="1"/>
  <c r="AB12" i="1" s="1"/>
  <c r="AI13" i="1" s="1"/>
  <c r="AH14" i="1" s="1"/>
  <c r="AG15" i="1" s="1"/>
  <c r="AF16" i="1" s="1"/>
  <c r="AE17" i="1" s="1"/>
  <c r="AD18" i="1" s="1"/>
  <c r="AC19" i="1" s="1"/>
  <c r="AB20" i="1" s="1"/>
  <c r="AB11" i="1"/>
  <c r="AI12" i="1" s="1"/>
  <c r="AH13" i="1" s="1"/>
  <c r="AG14" i="1" s="1"/>
  <c r="AF15" i="1" s="1"/>
  <c r="AE16" i="1" s="1"/>
  <c r="AD17" i="1" s="1"/>
  <c r="AC18" i="1" s="1"/>
  <c r="AB19" i="1" s="1"/>
  <c r="AI20" i="1" s="1"/>
  <c r="AH21" i="1" s="1"/>
  <c r="AG22" i="1" s="1"/>
  <c r="AF23" i="1" s="1"/>
  <c r="AE24" i="1" s="1"/>
  <c r="AD25" i="1" s="1"/>
  <c r="AC26" i="1" s="1"/>
  <c r="AB27" i="1" s="1"/>
  <c r="AE10" i="1"/>
  <c r="AD11" i="1" s="1"/>
  <c r="AC12" i="1" s="1"/>
  <c r="AB13" i="1" s="1"/>
  <c r="AI14" i="1" s="1"/>
  <c r="AH15" i="1" s="1"/>
  <c r="AG16" i="1" s="1"/>
  <c r="AF17" i="1" s="1"/>
  <c r="AE18" i="1" s="1"/>
  <c r="AD19" i="1" s="1"/>
  <c r="AC20" i="1" s="1"/>
  <c r="AB21" i="1" s="1"/>
  <c r="AF10" i="1"/>
  <c r="AE11" i="1" s="1"/>
  <c r="AD12" i="1" s="1"/>
  <c r="AC13" i="1" s="1"/>
  <c r="AB14" i="1" s="1"/>
  <c r="AI15" i="1" s="1"/>
  <c r="AH16" i="1" s="1"/>
  <c r="AG17" i="1" s="1"/>
  <c r="AF18" i="1" s="1"/>
  <c r="AE19" i="1" s="1"/>
  <c r="AD20" i="1" s="1"/>
  <c r="AC21" i="1" s="1"/>
  <c r="AB22" i="1" s="1"/>
  <c r="AI10" i="1"/>
  <c r="AH11" i="1" s="1"/>
  <c r="AG12" i="1" s="1"/>
  <c r="AF13" i="1" s="1"/>
  <c r="AE14" i="1" s="1"/>
  <c r="AD15" i="1" s="1"/>
  <c r="AC16" i="1" s="1"/>
  <c r="AB17" i="1" s="1"/>
  <c r="AI18" i="1" s="1"/>
  <c r="AH19" i="1" s="1"/>
  <c r="AG20" i="1" s="1"/>
  <c r="AF21" i="1" s="1"/>
  <c r="AE22" i="1" s="1"/>
  <c r="AD23" i="1" s="1"/>
  <c r="AC24" i="1" s="1"/>
  <c r="AB25" i="1" s="1"/>
  <c r="AK9" i="1"/>
  <c r="AI11" i="1"/>
  <c r="AH12" i="1" s="1"/>
  <c r="AG13" i="1" s="1"/>
  <c r="AF14" i="1" s="1"/>
  <c r="AE15" i="1" s="1"/>
  <c r="AD16" i="1" s="1"/>
  <c r="AC17" i="1" s="1"/>
  <c r="AB18" i="1" s="1"/>
  <c r="Z9" i="1"/>
  <c r="Z10" i="1"/>
  <c r="Z15" i="1"/>
  <c r="Z23" i="1"/>
  <c r="Z31" i="1"/>
  <c r="Z11" i="1"/>
  <c r="Z12" i="1"/>
  <c r="Z13" i="1"/>
  <c r="Z14" i="1"/>
  <c r="Z16" i="1"/>
  <c r="Z17" i="1"/>
  <c r="Z18" i="1"/>
  <c r="Z19" i="1"/>
  <c r="Z20" i="1"/>
  <c r="Z21" i="1"/>
  <c r="Z22" i="1"/>
  <c r="Z24" i="1"/>
  <c r="Z25" i="1"/>
  <c r="Z26" i="1"/>
  <c r="Z27" i="1"/>
  <c r="Z28" i="1"/>
  <c r="Z29" i="1"/>
  <c r="Z30" i="1"/>
  <c r="Z32" i="1"/>
  <c r="Z33" i="1"/>
  <c r="Z34" i="1"/>
  <c r="Z35" i="1"/>
  <c r="U2" i="6"/>
  <c r="B2" i="6" s="1"/>
  <c r="V2" i="6"/>
  <c r="B3" i="6" s="1"/>
  <c r="W2" i="6"/>
  <c r="G2" i="6" s="1"/>
  <c r="Z2" i="5"/>
  <c r="G4" i="5" s="1"/>
  <c r="Y2" i="5"/>
  <c r="G3" i="5" s="1"/>
  <c r="X2" i="5"/>
  <c r="G2" i="5" s="1"/>
  <c r="W2" i="5"/>
  <c r="B4" i="5" s="1"/>
  <c r="V2" i="5"/>
  <c r="B3" i="5" s="1"/>
  <c r="S2" i="4"/>
  <c r="B3" i="4" s="1"/>
  <c r="T2" i="4"/>
  <c r="B4" i="4" s="1"/>
  <c r="U2" i="4"/>
  <c r="I2" i="4" s="1"/>
  <c r="I8" i="4" s="1"/>
  <c r="V2" i="4"/>
  <c r="I3" i="4" s="1"/>
  <c r="I9" i="4" s="1"/>
  <c r="R2" i="4"/>
  <c r="B2" i="4" s="1"/>
  <c r="I184" i="3"/>
  <c r="K184" i="3"/>
  <c r="H2" i="1"/>
  <c r="I2" i="1" s="1"/>
  <c r="H136" i="3"/>
  <c r="H2" i="3"/>
  <c r="C4" i="5"/>
  <c r="C2" i="5"/>
  <c r="C5" i="7" l="1"/>
  <c r="X16" i="7" s="1"/>
  <c r="AK10" i="1"/>
  <c r="K2" i="1"/>
  <c r="E3" i="1" s="1"/>
  <c r="H3" i="1" s="1"/>
  <c r="I3" i="1" s="1"/>
  <c r="M2" i="1"/>
  <c r="G3" i="1" s="1"/>
  <c r="L2" i="1"/>
  <c r="F3" i="1" s="1"/>
  <c r="AK12" i="1"/>
  <c r="AK11" i="1"/>
  <c r="AI28" i="1"/>
  <c r="AH29" i="1" s="1"/>
  <c r="AG30" i="1" s="1"/>
  <c r="AF31" i="1" s="1"/>
  <c r="AE32" i="1" s="1"/>
  <c r="AD33" i="1" s="1"/>
  <c r="AC34" i="1" s="1"/>
  <c r="AB35" i="1" s="1"/>
  <c r="AI22" i="1"/>
  <c r="AH23" i="1" s="1"/>
  <c r="AG24" i="1" s="1"/>
  <c r="AF25" i="1" s="1"/>
  <c r="AE26" i="1" s="1"/>
  <c r="AD27" i="1" s="1"/>
  <c r="AC28" i="1" s="1"/>
  <c r="AB29" i="1" s="1"/>
  <c r="AK13" i="1"/>
  <c r="AI25" i="1"/>
  <c r="AH26" i="1" s="1"/>
  <c r="AG27" i="1" s="1"/>
  <c r="AF28" i="1" s="1"/>
  <c r="AE29" i="1" s="1"/>
  <c r="AD30" i="1" s="1"/>
  <c r="AC31" i="1" s="1"/>
  <c r="AB32" i="1" s="1"/>
  <c r="AI19" i="1"/>
  <c r="AH20" i="1" s="1"/>
  <c r="AG21" i="1" s="1"/>
  <c r="AF22" i="1" s="1"/>
  <c r="AE23" i="1" s="1"/>
  <c r="AD24" i="1" s="1"/>
  <c r="AC25" i="1" s="1"/>
  <c r="AB26" i="1" s="1"/>
  <c r="AK18" i="1"/>
  <c r="AK16" i="1"/>
  <c r="AI21" i="1"/>
  <c r="AH22" i="1" s="1"/>
  <c r="AG23" i="1" s="1"/>
  <c r="AI32" i="1"/>
  <c r="AH33" i="1" s="1"/>
  <c r="AG34" i="1" s="1"/>
  <c r="AF35" i="1" s="1"/>
  <c r="AK14" i="1"/>
  <c r="AK17" i="1"/>
  <c r="AK15" i="1"/>
  <c r="AI23" i="1"/>
  <c r="AH24" i="1" s="1"/>
  <c r="AG25" i="1" s="1"/>
  <c r="AF26" i="1" s="1"/>
  <c r="AE27" i="1" s="1"/>
  <c r="AD28" i="1" s="1"/>
  <c r="AC29" i="1" s="1"/>
  <c r="AB30" i="1" s="1"/>
  <c r="AI26" i="1"/>
  <c r="AH27" i="1" s="1"/>
  <c r="AG28" i="1" s="1"/>
  <c r="AF29" i="1" s="1"/>
  <c r="AE30" i="1" s="1"/>
  <c r="AD31" i="1" s="1"/>
  <c r="AC32" i="1" s="1"/>
  <c r="AB33" i="1" s="1"/>
  <c r="N184" i="3"/>
  <c r="G185" i="3" s="1"/>
  <c r="M184" i="3"/>
  <c r="F185" i="3" s="1"/>
  <c r="L184" i="3"/>
  <c r="E185" i="3" s="1"/>
  <c r="I136" i="3"/>
  <c r="K136" i="3"/>
  <c r="K2" i="3"/>
  <c r="I2" i="3"/>
  <c r="C3" i="5"/>
  <c r="C3" i="6"/>
  <c r="G2" i="4"/>
  <c r="C2" i="6"/>
  <c r="C6" i="7" l="1"/>
  <c r="X17" i="7" s="1"/>
  <c r="AK22" i="1"/>
  <c r="AK19" i="1"/>
  <c r="AK20" i="1"/>
  <c r="AI34" i="1"/>
  <c r="AH35" i="1" s="1"/>
  <c r="AF24" i="1"/>
  <c r="AK23" i="1"/>
  <c r="AK21" i="1"/>
  <c r="AI31" i="1"/>
  <c r="AH32" i="1" s="1"/>
  <c r="AG33" i="1" s="1"/>
  <c r="AF34" i="1" s="1"/>
  <c r="AE35" i="1" s="1"/>
  <c r="AI30" i="1"/>
  <c r="AH31" i="1" s="1"/>
  <c r="AG32" i="1" s="1"/>
  <c r="AF33" i="1" s="1"/>
  <c r="AE34" i="1" s="1"/>
  <c r="AD35" i="1" s="1"/>
  <c r="AI33" i="1"/>
  <c r="AH34" i="1" s="1"/>
  <c r="AG35" i="1" s="1"/>
  <c r="AK25" i="1"/>
  <c r="AI27" i="1"/>
  <c r="AH28" i="1" s="1"/>
  <c r="AG29" i="1" s="1"/>
  <c r="AF30" i="1" s="1"/>
  <c r="AE31" i="1" s="1"/>
  <c r="AD32" i="1" s="1"/>
  <c r="AC33" i="1" s="1"/>
  <c r="AB34" i="1" s="1"/>
  <c r="J2" i="4"/>
  <c r="H2" i="4"/>
  <c r="N136" i="3"/>
  <c r="G137" i="3" s="1"/>
  <c r="M136" i="3"/>
  <c r="F137" i="3" s="1"/>
  <c r="L136" i="3"/>
  <c r="E137" i="3" s="1"/>
  <c r="M3" i="1"/>
  <c r="G4" i="1" s="1"/>
  <c r="L3" i="1"/>
  <c r="F4" i="1" s="1"/>
  <c r="K3" i="1"/>
  <c r="E4" i="1" s="1"/>
  <c r="M2" i="3"/>
  <c r="F3" i="3" s="1"/>
  <c r="N2" i="3"/>
  <c r="G3" i="3" s="1"/>
  <c r="L2" i="3"/>
  <c r="E3" i="3" s="1"/>
  <c r="H185" i="3"/>
  <c r="H3" i="3"/>
  <c r="D2" i="5"/>
  <c r="D3" i="5"/>
  <c r="D3" i="6"/>
  <c r="D2" i="6"/>
  <c r="D4" i="5"/>
  <c r="G3" i="4"/>
  <c r="F2" i="5" l="1"/>
  <c r="H2" i="5"/>
  <c r="J17" i="5" s="1"/>
  <c r="O17" i="5" s="1"/>
  <c r="F4" i="5"/>
  <c r="H4" i="5"/>
  <c r="I14" i="5" s="1"/>
  <c r="N14" i="5" s="1"/>
  <c r="F3" i="5"/>
  <c r="H3" i="5"/>
  <c r="J18" i="5" s="1"/>
  <c r="O18" i="5" s="1"/>
  <c r="C7" i="7"/>
  <c r="X18" i="7" s="1"/>
  <c r="AE25" i="1"/>
  <c r="AD26" i="1" s="1"/>
  <c r="AK24" i="1"/>
  <c r="AI35" i="1"/>
  <c r="AK33" i="1"/>
  <c r="F2" i="6"/>
  <c r="H2" i="6"/>
  <c r="F3" i="6"/>
  <c r="H3" i="6"/>
  <c r="I16" i="6" s="1"/>
  <c r="L2" i="4"/>
  <c r="E8" i="4" s="1"/>
  <c r="K2" i="4"/>
  <c r="D8" i="4" s="1"/>
  <c r="M2" i="4"/>
  <c r="F8" i="4" s="1"/>
  <c r="H3" i="4"/>
  <c r="J3" i="4"/>
  <c r="K185" i="3"/>
  <c r="I185" i="3"/>
  <c r="H4" i="1"/>
  <c r="I4" i="1" s="1"/>
  <c r="H137" i="3"/>
  <c r="G8" i="4"/>
  <c r="I8" i="5" l="1"/>
  <c r="N8" i="5" s="1"/>
  <c r="J14" i="5"/>
  <c r="O14" i="5" s="1"/>
  <c r="J19" i="5"/>
  <c r="O19" i="5" s="1"/>
  <c r="I7" i="5"/>
  <c r="N7" i="5" s="1"/>
  <c r="J12" i="5"/>
  <c r="O12" i="5" s="1"/>
  <c r="J7" i="5"/>
  <c r="O7" i="5" s="1"/>
  <c r="I9" i="5"/>
  <c r="N9" i="5" s="1"/>
  <c r="I17" i="5"/>
  <c r="N17" i="5" s="1"/>
  <c r="I12" i="5"/>
  <c r="N12" i="5" s="1"/>
  <c r="J9" i="5"/>
  <c r="O9" i="5" s="1"/>
  <c r="J13" i="5"/>
  <c r="O13" i="5" s="1"/>
  <c r="I13" i="5"/>
  <c r="N13" i="5" s="1"/>
  <c r="J8" i="5"/>
  <c r="O8" i="5" s="1"/>
  <c r="I19" i="5"/>
  <c r="N19" i="5" s="1"/>
  <c r="I18" i="5"/>
  <c r="N18" i="5" s="1"/>
  <c r="C8" i="7"/>
  <c r="X19" i="7" s="1"/>
  <c r="AC27" i="1"/>
  <c r="AK26" i="1"/>
  <c r="I15" i="6"/>
  <c r="N15" i="6" s="1"/>
  <c r="I7" i="6"/>
  <c r="N7" i="6" s="1"/>
  <c r="J15" i="6"/>
  <c r="O15" i="6" s="1"/>
  <c r="J7" i="6"/>
  <c r="O7" i="6" s="1"/>
  <c r="J11" i="6"/>
  <c r="O11" i="6" s="1"/>
  <c r="I11" i="6"/>
  <c r="N11" i="6" s="1"/>
  <c r="I12" i="6"/>
  <c r="N12" i="6" s="1"/>
  <c r="I8" i="6"/>
  <c r="N8" i="6" s="1"/>
  <c r="J12" i="6"/>
  <c r="O12" i="6" s="1"/>
  <c r="N16" i="6"/>
  <c r="J16" i="6"/>
  <c r="O16" i="6" s="1"/>
  <c r="J8" i="6"/>
  <c r="O8" i="6" s="1"/>
  <c r="J8" i="4"/>
  <c r="M8" i="4" s="1"/>
  <c r="H8" i="4"/>
  <c r="K3" i="4"/>
  <c r="L3" i="4"/>
  <c r="M3" i="4"/>
  <c r="L185" i="3"/>
  <c r="E186" i="3" s="1"/>
  <c r="M185" i="3"/>
  <c r="F186" i="3" s="1"/>
  <c r="N185" i="3"/>
  <c r="G186" i="3" s="1"/>
  <c r="K137" i="3"/>
  <c r="I137" i="3"/>
  <c r="K4" i="1"/>
  <c r="E5" i="1" s="1"/>
  <c r="M4" i="1"/>
  <c r="G5" i="1" s="1"/>
  <c r="L4" i="1"/>
  <c r="F5" i="1" s="1"/>
  <c r="K3" i="3"/>
  <c r="I3" i="3"/>
  <c r="N2" i="5"/>
  <c r="N3" i="5"/>
  <c r="N4" i="5"/>
  <c r="C9" i="7" l="1"/>
  <c r="X20" i="7" s="1"/>
  <c r="AB28" i="1"/>
  <c r="AK27" i="1"/>
  <c r="L8" i="4"/>
  <c r="K8" i="4"/>
  <c r="F9" i="4"/>
  <c r="E9" i="4"/>
  <c r="D9" i="4"/>
  <c r="L137" i="3"/>
  <c r="E138" i="3" s="1"/>
  <c r="M137" i="3"/>
  <c r="F138" i="3" s="1"/>
  <c r="N137" i="3"/>
  <c r="G138" i="3" s="1"/>
  <c r="H5" i="1"/>
  <c r="I5" i="1" s="1"/>
  <c r="N3" i="3"/>
  <c r="G4" i="3" s="1"/>
  <c r="L3" i="3"/>
  <c r="E4" i="3" s="1"/>
  <c r="M3" i="3"/>
  <c r="F4" i="3" s="1"/>
  <c r="H186" i="3"/>
  <c r="O4" i="5"/>
  <c r="O3" i="5"/>
  <c r="O2" i="5"/>
  <c r="G4" i="4"/>
  <c r="N3" i="6"/>
  <c r="N2" i="6"/>
  <c r="C10" i="7" l="1"/>
  <c r="AK28" i="1"/>
  <c r="AI29" i="1"/>
  <c r="H4" i="4"/>
  <c r="J4" i="4"/>
  <c r="K186" i="3"/>
  <c r="I186" i="3"/>
  <c r="K5" i="1"/>
  <c r="E6" i="1" s="1"/>
  <c r="L5" i="1"/>
  <c r="F6" i="1" s="1"/>
  <c r="M5" i="1"/>
  <c r="G6" i="1" s="1"/>
  <c r="H138" i="3"/>
  <c r="H4" i="3"/>
  <c r="G9" i="4"/>
  <c r="O3" i="6"/>
  <c r="O2" i="6"/>
  <c r="H9" i="4" l="1"/>
  <c r="J9" i="4"/>
  <c r="L9" i="4" s="1"/>
  <c r="X21" i="7"/>
  <c r="C11" i="7"/>
  <c r="AH30" i="1"/>
  <c r="AK29" i="1"/>
  <c r="L4" i="4"/>
  <c r="E10" i="4" s="1"/>
  <c r="M4" i="4"/>
  <c r="F10" i="4" s="1"/>
  <c r="K4" i="4"/>
  <c r="D10" i="4" s="1"/>
  <c r="M186" i="3"/>
  <c r="F187" i="3" s="1"/>
  <c r="N186" i="3"/>
  <c r="G187" i="3" s="1"/>
  <c r="L186" i="3"/>
  <c r="E187" i="3" s="1"/>
  <c r="K138" i="3"/>
  <c r="I138" i="3"/>
  <c r="H6" i="1"/>
  <c r="K4" i="3"/>
  <c r="I4" i="3"/>
  <c r="M9" i="4" l="1"/>
  <c r="K9" i="4"/>
  <c r="E5" i="7"/>
  <c r="X22" i="7"/>
  <c r="E6" i="7"/>
  <c r="X2" i="7"/>
  <c r="E8" i="7"/>
  <c r="E7" i="7"/>
  <c r="E3" i="7"/>
  <c r="E4" i="7"/>
  <c r="AG31" i="1"/>
  <c r="AK30" i="1"/>
  <c r="L138" i="3"/>
  <c r="E139" i="3" s="1"/>
  <c r="M138" i="3"/>
  <c r="F139" i="3" s="1"/>
  <c r="N138" i="3"/>
  <c r="G139" i="3" s="1"/>
  <c r="I6" i="1"/>
  <c r="N4" i="3"/>
  <c r="G5" i="3" s="1"/>
  <c r="M4" i="3"/>
  <c r="F5" i="3" s="1"/>
  <c r="L4" i="3"/>
  <c r="E5" i="3" s="1"/>
  <c r="H187" i="3"/>
  <c r="H5" i="3"/>
  <c r="G10" i="4"/>
  <c r="J10" i="4" l="1"/>
  <c r="M10" i="4" s="1"/>
  <c r="H10" i="4"/>
  <c r="F4" i="7"/>
  <c r="X3" i="7"/>
  <c r="F7" i="7"/>
  <c r="F8" i="7"/>
  <c r="F3" i="7"/>
  <c r="F2" i="7"/>
  <c r="Y2" i="7"/>
  <c r="F5" i="7"/>
  <c r="F6" i="7"/>
  <c r="AF32" i="1"/>
  <c r="AK31" i="1"/>
  <c r="K187" i="3"/>
  <c r="I187" i="3"/>
  <c r="M6" i="1"/>
  <c r="G7" i="1" s="1"/>
  <c r="L6" i="1"/>
  <c r="F7" i="1" s="1"/>
  <c r="K6" i="1"/>
  <c r="E7" i="1" s="1"/>
  <c r="H139" i="3"/>
  <c r="K10" i="4" l="1"/>
  <c r="L10" i="4"/>
  <c r="X4" i="7"/>
  <c r="Y3" i="7"/>
  <c r="H7" i="1"/>
  <c r="I7" i="1" s="1"/>
  <c r="K7" i="1" s="1"/>
  <c r="E8" i="1" s="1"/>
  <c r="AE33" i="1"/>
  <c r="AD34" i="1" s="1"/>
  <c r="AK32" i="1"/>
  <c r="L187" i="3"/>
  <c r="E188" i="3" s="1"/>
  <c r="N187" i="3"/>
  <c r="G188" i="3" s="1"/>
  <c r="M187" i="3"/>
  <c r="F188" i="3" s="1"/>
  <c r="K139" i="3"/>
  <c r="I139" i="3"/>
  <c r="K5" i="3"/>
  <c r="I5" i="3"/>
  <c r="Y4" i="7" l="1"/>
  <c r="X5" i="7"/>
  <c r="X6" i="7" s="1"/>
  <c r="M7" i="1"/>
  <c r="G8" i="1" s="1"/>
  <c r="L7" i="1"/>
  <c r="F8" i="1" s="1"/>
  <c r="H8" i="1" s="1"/>
  <c r="I8" i="1" s="1"/>
  <c r="AC35" i="1"/>
  <c r="AK35" i="1" s="1"/>
  <c r="AK34" i="1"/>
  <c r="M139" i="3"/>
  <c r="F140" i="3" s="1"/>
  <c r="L139" i="3"/>
  <c r="E140" i="3" s="1"/>
  <c r="N139" i="3"/>
  <c r="G140" i="3" s="1"/>
  <c r="L5" i="3"/>
  <c r="E6" i="3" s="1"/>
  <c r="N5" i="3"/>
  <c r="G6" i="3" s="1"/>
  <c r="M5" i="3"/>
  <c r="F6" i="3" s="1"/>
  <c r="H188" i="3"/>
  <c r="H6" i="3"/>
  <c r="Y5" i="7" l="1"/>
  <c r="X7" i="7"/>
  <c r="Y6" i="7"/>
  <c r="K188" i="3"/>
  <c r="I188" i="3"/>
  <c r="M8" i="1"/>
  <c r="G9" i="1" s="1"/>
  <c r="K8" i="1"/>
  <c r="E9" i="1" s="1"/>
  <c r="L8" i="1"/>
  <c r="F9" i="1" s="1"/>
  <c r="H140" i="3"/>
  <c r="X8" i="7" l="1"/>
  <c r="Y7" i="7"/>
  <c r="H9" i="1"/>
  <c r="I9" i="1" s="1"/>
  <c r="K9" i="1" s="1"/>
  <c r="E10" i="1" s="1"/>
  <c r="M188" i="3"/>
  <c r="F189" i="3" s="1"/>
  <c r="N188" i="3"/>
  <c r="G189" i="3" s="1"/>
  <c r="L188" i="3"/>
  <c r="E189" i="3" s="1"/>
  <c r="K140" i="3"/>
  <c r="I140" i="3"/>
  <c r="K6" i="3"/>
  <c r="I6" i="3"/>
  <c r="Y8" i="7" l="1"/>
  <c r="M9" i="1"/>
  <c r="G10" i="1" s="1"/>
  <c r="L9" i="1"/>
  <c r="F10" i="1" s="1"/>
  <c r="H10" i="1" s="1"/>
  <c r="I10" i="1" s="1"/>
  <c r="N140" i="3"/>
  <c r="G141" i="3" s="1"/>
  <c r="M140" i="3"/>
  <c r="F141" i="3" s="1"/>
  <c r="L140" i="3"/>
  <c r="E141" i="3" s="1"/>
  <c r="M6" i="3"/>
  <c r="F7" i="3" s="1"/>
  <c r="N6" i="3"/>
  <c r="G7" i="3" s="1"/>
  <c r="L6" i="3"/>
  <c r="E7" i="3" s="1"/>
  <c r="H189" i="3"/>
  <c r="H7" i="3"/>
  <c r="K189" i="3" l="1"/>
  <c r="I189" i="3"/>
  <c r="K10" i="1"/>
  <c r="E11" i="1" s="1"/>
  <c r="L10" i="1"/>
  <c r="F11" i="1" s="1"/>
  <c r="M10" i="1"/>
  <c r="G11" i="1" s="1"/>
  <c r="K7" i="3"/>
  <c r="I7" i="3"/>
  <c r="H141" i="3"/>
  <c r="N189" i="3" l="1"/>
  <c r="G190" i="3" s="1"/>
  <c r="M189" i="3"/>
  <c r="F190" i="3" s="1"/>
  <c r="L189" i="3"/>
  <c r="E190" i="3" s="1"/>
  <c r="K141" i="3"/>
  <c r="I141" i="3"/>
  <c r="H11" i="1"/>
  <c r="I11" i="1" s="1"/>
  <c r="N7" i="3"/>
  <c r="G8" i="3" s="1"/>
  <c r="M7" i="3"/>
  <c r="F8" i="3" s="1"/>
  <c r="L7" i="3"/>
  <c r="E8" i="3" s="1"/>
  <c r="H8" i="3"/>
  <c r="L141" i="3" l="1"/>
  <c r="E142" i="3" s="1"/>
  <c r="M141" i="3"/>
  <c r="F142" i="3" s="1"/>
  <c r="N141" i="3"/>
  <c r="G142" i="3" s="1"/>
  <c r="K11" i="1"/>
  <c r="E12" i="1" s="1"/>
  <c r="M11" i="1"/>
  <c r="G12" i="1" s="1"/>
  <c r="L11" i="1"/>
  <c r="F12" i="1" s="1"/>
  <c r="K8" i="3"/>
  <c r="I8" i="3"/>
  <c r="H190" i="3"/>
  <c r="K190" i="3" l="1"/>
  <c r="I190" i="3"/>
  <c r="H12" i="1"/>
  <c r="I12" i="1" s="1"/>
  <c r="L8" i="3"/>
  <c r="E9" i="3" s="1"/>
  <c r="M8" i="3"/>
  <c r="F9" i="3" s="1"/>
  <c r="N8" i="3"/>
  <c r="G9" i="3" s="1"/>
  <c r="H142" i="3"/>
  <c r="M190" i="3" l="1"/>
  <c r="F191" i="3" s="1"/>
  <c r="N190" i="3"/>
  <c r="G191" i="3" s="1"/>
  <c r="L190" i="3"/>
  <c r="E191" i="3" s="1"/>
  <c r="I142" i="3"/>
  <c r="K142" i="3"/>
  <c r="M12" i="1"/>
  <c r="G13" i="1" s="1"/>
  <c r="L12" i="1"/>
  <c r="F13" i="1" s="1"/>
  <c r="K12" i="1"/>
  <c r="E13" i="1" s="1"/>
  <c r="H9" i="3"/>
  <c r="L142" i="3" l="1"/>
  <c r="E143" i="3" s="1"/>
  <c r="N142" i="3"/>
  <c r="G143" i="3" s="1"/>
  <c r="M142" i="3"/>
  <c r="F143" i="3" s="1"/>
  <c r="K9" i="3"/>
  <c r="L9" i="3" s="1"/>
  <c r="E10" i="3" s="1"/>
  <c r="I9" i="3"/>
  <c r="H13" i="1"/>
  <c r="I13" i="1" s="1"/>
  <c r="H191" i="3"/>
  <c r="K191" i="3" l="1"/>
  <c r="I191" i="3"/>
  <c r="M9" i="3"/>
  <c r="F10" i="3" s="1"/>
  <c r="N9" i="3"/>
  <c r="G10" i="3" s="1"/>
  <c r="M13" i="1"/>
  <c r="G14" i="1" s="1"/>
  <c r="L13" i="1"/>
  <c r="F14" i="1" s="1"/>
  <c r="K13" i="1"/>
  <c r="E14" i="1" s="1"/>
  <c r="H14" i="1" s="1"/>
  <c r="I14" i="1" s="1"/>
  <c r="H143" i="3"/>
  <c r="H10" i="3"/>
  <c r="M14" i="1" l="1"/>
  <c r="G15" i="1" s="1"/>
  <c r="L14" i="1"/>
  <c r="F15" i="1" s="1"/>
  <c r="K14" i="1"/>
  <c r="E15" i="1" s="1"/>
  <c r="M191" i="3"/>
  <c r="L191" i="3"/>
  <c r="N191" i="3"/>
  <c r="K143" i="3"/>
  <c r="I143" i="3"/>
  <c r="K10" i="3"/>
  <c r="L10" i="3" s="1"/>
  <c r="E11" i="3" s="1"/>
  <c r="I10" i="3"/>
  <c r="H15" i="1" l="1"/>
  <c r="I15" i="1" s="1"/>
  <c r="M143" i="3"/>
  <c r="F144" i="3" s="1"/>
  <c r="L143" i="3"/>
  <c r="E144" i="3" s="1"/>
  <c r="N143" i="3"/>
  <c r="G144" i="3" s="1"/>
  <c r="N10" i="3"/>
  <c r="G11" i="3" s="1"/>
  <c r="M10" i="3"/>
  <c r="F11" i="3" s="1"/>
  <c r="H144" i="3"/>
  <c r="H11" i="3"/>
  <c r="L15" i="1" l="1"/>
  <c r="F16" i="1" s="1"/>
  <c r="M15" i="1"/>
  <c r="G16" i="1" s="1"/>
  <c r="K15" i="1"/>
  <c r="E16" i="1" s="1"/>
  <c r="I144" i="3"/>
  <c r="K144" i="3"/>
  <c r="L144" i="3" s="1"/>
  <c r="E145" i="3" s="1"/>
  <c r="K11" i="3"/>
  <c r="M11" i="3" s="1"/>
  <c r="F12" i="3" s="1"/>
  <c r="I11" i="3"/>
  <c r="M144" i="3" l="1"/>
  <c r="F145" i="3" s="1"/>
  <c r="H16" i="1"/>
  <c r="I16" i="1" s="1"/>
  <c r="N144" i="3"/>
  <c r="G145" i="3" s="1"/>
  <c r="N11" i="3"/>
  <c r="G12" i="3" s="1"/>
  <c r="L11" i="3"/>
  <c r="E12" i="3" s="1"/>
  <c r="H145" i="3"/>
  <c r="H12" i="3"/>
  <c r="M16" i="1" l="1"/>
  <c r="G17" i="1" s="1"/>
  <c r="L16" i="1"/>
  <c r="F17" i="1" s="1"/>
  <c r="K16" i="1"/>
  <c r="E17" i="1" s="1"/>
  <c r="I145" i="3"/>
  <c r="K145" i="3"/>
  <c r="K12" i="3"/>
  <c r="N12" i="3" s="1"/>
  <c r="G13" i="3" s="1"/>
  <c r="I12" i="3"/>
  <c r="H17" i="1" l="1"/>
  <c r="I17" i="1" s="1"/>
  <c r="M145" i="3"/>
  <c r="F146" i="3" s="1"/>
  <c r="L145" i="3"/>
  <c r="E146" i="3" s="1"/>
  <c r="N145" i="3"/>
  <c r="G146" i="3" s="1"/>
  <c r="M12" i="3"/>
  <c r="F13" i="3" s="1"/>
  <c r="L12" i="3"/>
  <c r="E13" i="3" s="1"/>
  <c r="H146" i="3"/>
  <c r="H13" i="3"/>
  <c r="M17" i="1" l="1"/>
  <c r="G18" i="1" s="1"/>
  <c r="K17" i="1"/>
  <c r="E18" i="1" s="1"/>
  <c r="H18" i="1" s="1"/>
  <c r="I18" i="1" s="1"/>
  <c r="L17" i="1"/>
  <c r="F18" i="1" s="1"/>
  <c r="K146" i="3"/>
  <c r="N146" i="3" s="1"/>
  <c r="G147" i="3" s="1"/>
  <c r="I146" i="3"/>
  <c r="K13" i="3"/>
  <c r="L13" i="3" s="1"/>
  <c r="E14" i="3" s="1"/>
  <c r="I13" i="3"/>
  <c r="L18" i="1" l="1"/>
  <c r="F19" i="1" s="1"/>
  <c r="K18" i="1"/>
  <c r="E19" i="1" s="1"/>
  <c r="H19" i="1" s="1"/>
  <c r="I19" i="1" s="1"/>
  <c r="M18" i="1"/>
  <c r="G19" i="1" s="1"/>
  <c r="M146" i="3"/>
  <c r="F147" i="3" s="1"/>
  <c r="L146" i="3"/>
  <c r="E147" i="3" s="1"/>
  <c r="M13" i="3"/>
  <c r="F14" i="3" s="1"/>
  <c r="N13" i="3"/>
  <c r="G14" i="3" s="1"/>
  <c r="H147" i="3"/>
  <c r="H14" i="3"/>
  <c r="M19" i="1" l="1"/>
  <c r="G20" i="1" s="1"/>
  <c r="L19" i="1"/>
  <c r="F20" i="1" s="1"/>
  <c r="K19" i="1"/>
  <c r="E20" i="1" s="1"/>
  <c r="K147" i="3"/>
  <c r="I147" i="3"/>
  <c r="I14" i="3"/>
  <c r="K14" i="3"/>
  <c r="N14" i="3" s="1"/>
  <c r="G15" i="3" s="1"/>
  <c r="H20" i="1" l="1"/>
  <c r="I20" i="1" s="1"/>
  <c r="L147" i="3"/>
  <c r="E148" i="3" s="1"/>
  <c r="M147" i="3"/>
  <c r="F148" i="3" s="1"/>
  <c r="N147" i="3"/>
  <c r="G148" i="3" s="1"/>
  <c r="L14" i="3"/>
  <c r="E15" i="3" s="1"/>
  <c r="M14" i="3"/>
  <c r="F15" i="3" s="1"/>
  <c r="H148" i="3"/>
  <c r="H15" i="3"/>
  <c r="K20" i="1" l="1"/>
  <c r="E21" i="1" s="1"/>
  <c r="H21" i="1" s="1"/>
  <c r="I21" i="1" s="1"/>
  <c r="L20" i="1"/>
  <c r="F21" i="1" s="1"/>
  <c r="M20" i="1"/>
  <c r="G21" i="1" s="1"/>
  <c r="I148" i="3"/>
  <c r="K148" i="3"/>
  <c r="N148" i="3" s="1"/>
  <c r="G149" i="3" s="1"/>
  <c r="I15" i="3"/>
  <c r="K15" i="3"/>
  <c r="L15" i="3" s="1"/>
  <c r="E16" i="3" s="1"/>
  <c r="M21" i="1" l="1"/>
  <c r="G22" i="1" s="1"/>
  <c r="L21" i="1"/>
  <c r="F22" i="1" s="1"/>
  <c r="K21" i="1"/>
  <c r="E22" i="1" s="1"/>
  <c r="L148" i="3"/>
  <c r="E149" i="3" s="1"/>
  <c r="M148" i="3"/>
  <c r="F149" i="3" s="1"/>
  <c r="N15" i="3"/>
  <c r="G16" i="3" s="1"/>
  <c r="M15" i="3"/>
  <c r="F16" i="3" s="1"/>
  <c r="H149" i="3"/>
  <c r="H16" i="3"/>
  <c r="H22" i="1" l="1"/>
  <c r="I22" i="1" s="1"/>
  <c r="K149" i="3"/>
  <c r="I149" i="3"/>
  <c r="K16" i="3"/>
  <c r="M16" i="3" s="1"/>
  <c r="F17" i="3" s="1"/>
  <c r="I16" i="3"/>
  <c r="M22" i="1" l="1"/>
  <c r="G23" i="1" s="1"/>
  <c r="L22" i="1"/>
  <c r="F23" i="1" s="1"/>
  <c r="K22" i="1"/>
  <c r="E23" i="1" s="1"/>
  <c r="M149" i="3"/>
  <c r="F150" i="3" s="1"/>
  <c r="L149" i="3"/>
  <c r="E150" i="3" s="1"/>
  <c r="N149" i="3"/>
  <c r="G150" i="3" s="1"/>
  <c r="N16" i="3"/>
  <c r="G17" i="3" s="1"/>
  <c r="L16" i="3"/>
  <c r="E17" i="3" s="1"/>
  <c r="H150" i="3"/>
  <c r="H17" i="3"/>
  <c r="H23" i="1" l="1"/>
  <c r="I23" i="1" s="1"/>
  <c r="K150" i="3"/>
  <c r="L150" i="3" s="1"/>
  <c r="E151" i="3" s="1"/>
  <c r="I150" i="3"/>
  <c r="K17" i="3"/>
  <c r="L17" i="3" s="1"/>
  <c r="E18" i="3" s="1"/>
  <c r="I17" i="3"/>
  <c r="L23" i="1" l="1"/>
  <c r="F24" i="1" s="1"/>
  <c r="M23" i="1"/>
  <c r="G24" i="1" s="1"/>
  <c r="K23" i="1"/>
  <c r="E24" i="1" s="1"/>
  <c r="M150" i="3"/>
  <c r="F151" i="3" s="1"/>
  <c r="N150" i="3"/>
  <c r="G151" i="3" s="1"/>
  <c r="M17" i="3"/>
  <c r="F18" i="3" s="1"/>
  <c r="N17" i="3"/>
  <c r="G18" i="3" s="1"/>
  <c r="H151" i="3"/>
  <c r="H18" i="3"/>
  <c r="H24" i="1" l="1"/>
  <c r="I24" i="1" s="1"/>
  <c r="K151" i="3"/>
  <c r="L151" i="3" s="1"/>
  <c r="E152" i="3" s="1"/>
  <c r="I151" i="3"/>
  <c r="I18" i="3"/>
  <c r="K18" i="3"/>
  <c r="N18" i="3" s="1"/>
  <c r="G19" i="3" s="1"/>
  <c r="M24" i="1" l="1"/>
  <c r="G25" i="1" s="1"/>
  <c r="L24" i="1"/>
  <c r="F25" i="1" s="1"/>
  <c r="K24" i="1"/>
  <c r="E25" i="1" s="1"/>
  <c r="M151" i="3"/>
  <c r="F152" i="3" s="1"/>
  <c r="N151" i="3"/>
  <c r="G152" i="3" s="1"/>
  <c r="M18" i="3"/>
  <c r="F19" i="3" s="1"/>
  <c r="L18" i="3"/>
  <c r="E19" i="3" s="1"/>
  <c r="H152" i="3"/>
  <c r="H19" i="3"/>
  <c r="H25" i="1" l="1"/>
  <c r="I25" i="1" s="1"/>
  <c r="K152" i="3"/>
  <c r="L152" i="3" s="1"/>
  <c r="E153" i="3" s="1"/>
  <c r="I152" i="3"/>
  <c r="K19" i="3"/>
  <c r="N19" i="3" s="1"/>
  <c r="G20" i="3" s="1"/>
  <c r="I19" i="3"/>
  <c r="M152" i="3" l="1"/>
  <c r="F153" i="3" s="1"/>
  <c r="N152" i="3"/>
  <c r="G153" i="3" s="1"/>
  <c r="L25" i="1"/>
  <c r="F26" i="1" s="1"/>
  <c r="K25" i="1"/>
  <c r="E26" i="1" s="1"/>
  <c r="M25" i="1"/>
  <c r="G26" i="1" s="1"/>
  <c r="L19" i="3"/>
  <c r="E20" i="3" s="1"/>
  <c r="M19" i="3"/>
  <c r="F20" i="3" s="1"/>
  <c r="H20" i="3"/>
  <c r="H153" i="3"/>
  <c r="I153" i="3" l="1"/>
  <c r="K153" i="3"/>
  <c r="L153" i="3" s="1"/>
  <c r="E154" i="3" s="1"/>
  <c r="H26" i="1"/>
  <c r="I26" i="1" s="1"/>
  <c r="I20" i="3"/>
  <c r="K20" i="3"/>
  <c r="N20" i="3" s="1"/>
  <c r="G21" i="3" s="1"/>
  <c r="N153" i="3" l="1"/>
  <c r="G154" i="3" s="1"/>
  <c r="M153" i="3"/>
  <c r="F154" i="3" s="1"/>
  <c r="M26" i="1"/>
  <c r="G27" i="1" s="1"/>
  <c r="L26" i="1"/>
  <c r="F27" i="1" s="1"/>
  <c r="K26" i="1"/>
  <c r="E27" i="1" s="1"/>
  <c r="H27" i="1" s="1"/>
  <c r="I27" i="1" s="1"/>
  <c r="M20" i="3"/>
  <c r="F21" i="3" s="1"/>
  <c r="L20" i="3"/>
  <c r="E21" i="3" s="1"/>
  <c r="H154" i="3"/>
  <c r="H21" i="3"/>
  <c r="I154" i="3" l="1"/>
  <c r="K154" i="3"/>
  <c r="M154" i="3" s="1"/>
  <c r="F155" i="3" s="1"/>
  <c r="M27" i="1"/>
  <c r="G28" i="1" s="1"/>
  <c r="L27" i="1"/>
  <c r="F28" i="1" s="1"/>
  <c r="K27" i="1"/>
  <c r="E28" i="1" s="1"/>
  <c r="H28" i="1" s="1"/>
  <c r="I28" i="1" s="1"/>
  <c r="K21" i="3"/>
  <c r="L21" i="3" s="1"/>
  <c r="E22" i="3" s="1"/>
  <c r="I21" i="3"/>
  <c r="L154" i="3" l="1"/>
  <c r="E155" i="3" s="1"/>
  <c r="N154" i="3"/>
  <c r="G155" i="3" s="1"/>
  <c r="M28" i="1"/>
  <c r="G29" i="1" s="1"/>
  <c r="L28" i="1"/>
  <c r="F29" i="1" s="1"/>
  <c r="K28" i="1"/>
  <c r="E29" i="1" s="1"/>
  <c r="H29" i="1" s="1"/>
  <c r="I29" i="1" s="1"/>
  <c r="N21" i="3"/>
  <c r="G22" i="3" s="1"/>
  <c r="M21" i="3"/>
  <c r="F22" i="3" s="1"/>
  <c r="H155" i="3"/>
  <c r="H22" i="3"/>
  <c r="K155" i="3" l="1"/>
  <c r="L155" i="3" s="1"/>
  <c r="E156" i="3" s="1"/>
  <c r="I155" i="3"/>
  <c r="M29" i="1"/>
  <c r="G30" i="1" s="1"/>
  <c r="K29" i="1"/>
  <c r="E30" i="1" s="1"/>
  <c r="L29" i="1"/>
  <c r="F30" i="1" s="1"/>
  <c r="K22" i="3"/>
  <c r="M22" i="3" s="1"/>
  <c r="F23" i="3" s="1"/>
  <c r="I22" i="3"/>
  <c r="M155" i="3" l="1"/>
  <c r="F156" i="3" s="1"/>
  <c r="N155" i="3"/>
  <c r="G156" i="3" s="1"/>
  <c r="H30" i="1"/>
  <c r="I30" i="1" s="1"/>
  <c r="L22" i="3"/>
  <c r="E23" i="3" s="1"/>
  <c r="N22" i="3"/>
  <c r="G23" i="3" s="1"/>
  <c r="H156" i="3"/>
  <c r="H23" i="3"/>
  <c r="I156" i="3" l="1"/>
  <c r="K156" i="3"/>
  <c r="L156" i="3" s="1"/>
  <c r="E157" i="3" s="1"/>
  <c r="L30" i="1"/>
  <c r="F31" i="1" s="1"/>
  <c r="K30" i="1"/>
  <c r="E31" i="1" s="1"/>
  <c r="H31" i="1" s="1"/>
  <c r="I31" i="1" s="1"/>
  <c r="M30" i="1"/>
  <c r="G31" i="1" s="1"/>
  <c r="I23" i="3"/>
  <c r="K23" i="3"/>
  <c r="M23" i="3" s="1"/>
  <c r="F24" i="3" s="1"/>
  <c r="N156" i="3" l="1"/>
  <c r="G157" i="3" s="1"/>
  <c r="M156" i="3"/>
  <c r="F157" i="3" s="1"/>
  <c r="M31" i="1"/>
  <c r="G32" i="1" s="1"/>
  <c r="L31" i="1"/>
  <c r="F32" i="1" s="1"/>
  <c r="K31" i="1"/>
  <c r="E32" i="1" s="1"/>
  <c r="N23" i="3"/>
  <c r="G24" i="3" s="1"/>
  <c r="L23" i="3"/>
  <c r="E24" i="3" s="1"/>
  <c r="H24" i="3"/>
  <c r="H157" i="3"/>
  <c r="K157" i="3" l="1"/>
  <c r="N157" i="3" s="1"/>
  <c r="G158" i="3" s="1"/>
  <c r="I157" i="3"/>
  <c r="H32" i="1"/>
  <c r="I32" i="1" s="1"/>
  <c r="K24" i="3"/>
  <c r="N24" i="3" s="1"/>
  <c r="G25" i="3" s="1"/>
  <c r="I24" i="3"/>
  <c r="L157" i="3" l="1"/>
  <c r="E158" i="3" s="1"/>
  <c r="M157" i="3"/>
  <c r="F158" i="3" s="1"/>
  <c r="M32" i="1"/>
  <c r="G33" i="1" s="1"/>
  <c r="L32" i="1"/>
  <c r="F33" i="1" s="1"/>
  <c r="K32" i="1"/>
  <c r="E33" i="1" s="1"/>
  <c r="H33" i="1" s="1"/>
  <c r="I33" i="1" s="1"/>
  <c r="M24" i="3"/>
  <c r="F25" i="3" s="1"/>
  <c r="L24" i="3"/>
  <c r="E25" i="3" s="1"/>
  <c r="H158" i="3"/>
  <c r="H25" i="3"/>
  <c r="I158" i="3" l="1"/>
  <c r="K158" i="3"/>
  <c r="N158" i="3" s="1"/>
  <c r="G159" i="3" s="1"/>
  <c r="M33" i="1"/>
  <c r="G34" i="1" s="1"/>
  <c r="L33" i="1"/>
  <c r="F34" i="1" s="1"/>
  <c r="K33" i="1"/>
  <c r="E34" i="1" s="1"/>
  <c r="K25" i="3"/>
  <c r="M25" i="3" s="1"/>
  <c r="F26" i="3" s="1"/>
  <c r="I25" i="3"/>
  <c r="L158" i="3" l="1"/>
  <c r="E159" i="3" s="1"/>
  <c r="M158" i="3"/>
  <c r="F159" i="3" s="1"/>
  <c r="H34" i="1"/>
  <c r="I34" i="1" s="1"/>
  <c r="N25" i="3"/>
  <c r="G26" i="3" s="1"/>
  <c r="L25" i="3"/>
  <c r="E26" i="3" s="1"/>
  <c r="H159" i="3"/>
  <c r="H26" i="3"/>
  <c r="K159" i="3" l="1"/>
  <c r="L159" i="3" s="1"/>
  <c r="E160" i="3" s="1"/>
  <c r="I159" i="3"/>
  <c r="M34" i="1"/>
  <c r="G35" i="1" s="1"/>
  <c r="L34" i="1"/>
  <c r="F35" i="1" s="1"/>
  <c r="K34" i="1"/>
  <c r="E35" i="1" s="1"/>
  <c r="H35" i="1" s="1"/>
  <c r="I35" i="1" s="1"/>
  <c r="K26" i="3"/>
  <c r="N26" i="3" s="1"/>
  <c r="G27" i="3" s="1"/>
  <c r="I26" i="3"/>
  <c r="N159" i="3" l="1"/>
  <c r="G160" i="3" s="1"/>
  <c r="M159" i="3"/>
  <c r="F160" i="3" s="1"/>
  <c r="K35" i="1"/>
  <c r="M35" i="1"/>
  <c r="L35" i="1"/>
  <c r="M26" i="3"/>
  <c r="F27" i="3" s="1"/>
  <c r="L26" i="3"/>
  <c r="E27" i="3" s="1"/>
  <c r="H160" i="3"/>
  <c r="H27" i="3"/>
  <c r="I160" i="3" l="1"/>
  <c r="K160" i="3"/>
  <c r="L160" i="3" s="1"/>
  <c r="E161" i="3" s="1"/>
  <c r="I27" i="3"/>
  <c r="K27" i="3"/>
  <c r="M27" i="3" s="1"/>
  <c r="F28" i="3" s="1"/>
  <c r="M160" i="3" l="1"/>
  <c r="F161" i="3" s="1"/>
  <c r="N160" i="3"/>
  <c r="G161" i="3" s="1"/>
  <c r="N27" i="3"/>
  <c r="G28" i="3" s="1"/>
  <c r="L27" i="3"/>
  <c r="E28" i="3" s="1"/>
  <c r="H161" i="3"/>
  <c r="H28" i="3"/>
  <c r="I161" i="3" l="1"/>
  <c r="K161" i="3"/>
  <c r="N161" i="3" s="1"/>
  <c r="G162" i="3" s="1"/>
  <c r="I28" i="3"/>
  <c r="K28" i="3"/>
  <c r="N28" i="3" s="1"/>
  <c r="G29" i="3" s="1"/>
  <c r="L161" i="3" l="1"/>
  <c r="E162" i="3" s="1"/>
  <c r="M161" i="3"/>
  <c r="F162" i="3" s="1"/>
  <c r="M28" i="3"/>
  <c r="F29" i="3" s="1"/>
  <c r="L28" i="3"/>
  <c r="E29" i="3" s="1"/>
  <c r="H29" i="3"/>
  <c r="H162" i="3"/>
  <c r="I162" i="3" l="1"/>
  <c r="K162" i="3"/>
  <c r="N162" i="3" s="1"/>
  <c r="G163" i="3" s="1"/>
  <c r="K29" i="3"/>
  <c r="N29" i="3" s="1"/>
  <c r="G30" i="3" s="1"/>
  <c r="I29" i="3"/>
  <c r="L162" i="3" l="1"/>
  <c r="E163" i="3" s="1"/>
  <c r="M162" i="3"/>
  <c r="F163" i="3" s="1"/>
  <c r="L29" i="3"/>
  <c r="E30" i="3" s="1"/>
  <c r="M29" i="3"/>
  <c r="F30" i="3" s="1"/>
  <c r="H30" i="3"/>
  <c r="H163" i="3"/>
  <c r="I163" i="3" l="1"/>
  <c r="K163" i="3"/>
  <c r="N163" i="3" s="1"/>
  <c r="G164" i="3" s="1"/>
  <c r="I30" i="3"/>
  <c r="K30" i="3"/>
  <c r="M30" i="3" s="1"/>
  <c r="F31" i="3" s="1"/>
  <c r="M163" i="3" l="1"/>
  <c r="F164" i="3" s="1"/>
  <c r="L163" i="3"/>
  <c r="E164" i="3" s="1"/>
  <c r="L30" i="3"/>
  <c r="E31" i="3" s="1"/>
  <c r="N30" i="3"/>
  <c r="G31" i="3" s="1"/>
  <c r="H164" i="3"/>
  <c r="I164" i="3" l="1"/>
  <c r="K164" i="3"/>
  <c r="N164" i="3" s="1"/>
  <c r="G165" i="3" s="1"/>
  <c r="H31" i="3"/>
  <c r="L164" i="3" l="1"/>
  <c r="E165" i="3" s="1"/>
  <c r="M164" i="3"/>
  <c r="F165" i="3" s="1"/>
  <c r="K31" i="3"/>
  <c r="I31" i="3"/>
  <c r="H165" i="3"/>
  <c r="K165" i="3" l="1"/>
  <c r="N165" i="3" s="1"/>
  <c r="G166" i="3" s="1"/>
  <c r="I165" i="3"/>
  <c r="N31" i="3"/>
  <c r="G32" i="3" s="1"/>
  <c r="M31" i="3"/>
  <c r="F32" i="3" s="1"/>
  <c r="L31" i="3"/>
  <c r="E32" i="3" s="1"/>
  <c r="H32" i="3"/>
  <c r="L165" i="3" l="1"/>
  <c r="E166" i="3" s="1"/>
  <c r="M165" i="3"/>
  <c r="F166" i="3" s="1"/>
  <c r="I32" i="3"/>
  <c r="K32" i="3"/>
  <c r="L32" i="3" s="1"/>
  <c r="E33" i="3" s="1"/>
  <c r="H166" i="3"/>
  <c r="K166" i="3" l="1"/>
  <c r="L166" i="3" s="1"/>
  <c r="E167" i="3" s="1"/>
  <c r="I166" i="3"/>
  <c r="M32" i="3"/>
  <c r="F33" i="3" s="1"/>
  <c r="N32" i="3"/>
  <c r="G33" i="3" s="1"/>
  <c r="H33" i="3"/>
  <c r="M166" i="3" l="1"/>
  <c r="F167" i="3" s="1"/>
  <c r="N166" i="3"/>
  <c r="G167" i="3" s="1"/>
  <c r="K33" i="3"/>
  <c r="N33" i="3" s="1"/>
  <c r="G34" i="3" s="1"/>
  <c r="I33" i="3"/>
  <c r="H167" i="3"/>
  <c r="K167" i="3" l="1"/>
  <c r="I167" i="3"/>
  <c r="M33" i="3"/>
  <c r="F34" i="3" s="1"/>
  <c r="L33" i="3"/>
  <c r="E34" i="3" s="1"/>
  <c r="H34" i="3"/>
  <c r="M167" i="3" l="1"/>
  <c r="F168" i="3" s="1"/>
  <c r="L167" i="3"/>
  <c r="E168" i="3" s="1"/>
  <c r="N167" i="3"/>
  <c r="G168" i="3" s="1"/>
  <c r="I34" i="3"/>
  <c r="K34" i="3"/>
  <c r="L34" i="3" s="1"/>
  <c r="E35" i="3" s="1"/>
  <c r="H168" i="3"/>
  <c r="I168" i="3" l="1"/>
  <c r="K168" i="3"/>
  <c r="N34" i="3"/>
  <c r="G35" i="3" s="1"/>
  <c r="M34" i="3"/>
  <c r="F35" i="3" s="1"/>
  <c r="H35" i="3"/>
  <c r="N168" i="3" l="1"/>
  <c r="G169" i="3" s="1"/>
  <c r="M168" i="3"/>
  <c r="F169" i="3" s="1"/>
  <c r="L168" i="3"/>
  <c r="E169" i="3" s="1"/>
  <c r="I35" i="3"/>
  <c r="K35" i="3"/>
  <c r="M35" i="3" s="1"/>
  <c r="F36" i="3" s="1"/>
  <c r="H169" i="3"/>
  <c r="I169" i="3" l="1"/>
  <c r="K169" i="3"/>
  <c r="L35" i="3"/>
  <c r="E36" i="3" s="1"/>
  <c r="N35" i="3"/>
  <c r="G36" i="3" s="1"/>
  <c r="H36" i="3"/>
  <c r="M169" i="3" l="1"/>
  <c r="F170" i="3" s="1"/>
  <c r="L169" i="3"/>
  <c r="E170" i="3" s="1"/>
  <c r="N169" i="3"/>
  <c r="G170" i="3" s="1"/>
  <c r="K36" i="3"/>
  <c r="N36" i="3" s="1"/>
  <c r="G37" i="3" s="1"/>
  <c r="I36" i="3"/>
  <c r="H170" i="3"/>
  <c r="I170" i="3" l="1"/>
  <c r="K170" i="3"/>
  <c r="M36" i="3"/>
  <c r="F37" i="3" s="1"/>
  <c r="L36" i="3"/>
  <c r="E37" i="3" s="1"/>
  <c r="H37" i="3"/>
  <c r="L170" i="3" l="1"/>
  <c r="E171" i="3" s="1"/>
  <c r="M170" i="3"/>
  <c r="F171" i="3" s="1"/>
  <c r="N170" i="3"/>
  <c r="G171" i="3" s="1"/>
  <c r="I37" i="3"/>
  <c r="K37" i="3"/>
  <c r="M37" i="3" s="1"/>
  <c r="F38" i="3" s="1"/>
  <c r="H171" i="3"/>
  <c r="L37" i="3" l="1"/>
  <c r="E38" i="3" s="1"/>
  <c r="I171" i="3"/>
  <c r="K171" i="3"/>
  <c r="N37" i="3"/>
  <c r="G38" i="3" s="1"/>
  <c r="H38" i="3"/>
  <c r="I38" i="3" l="1"/>
  <c r="K38" i="3"/>
  <c r="N38" i="3" s="1"/>
  <c r="G39" i="3" s="1"/>
  <c r="M171" i="3"/>
  <c r="F172" i="3" s="1"/>
  <c r="N171" i="3"/>
  <c r="G172" i="3" s="1"/>
  <c r="L171" i="3"/>
  <c r="E172" i="3" s="1"/>
  <c r="H172" i="3"/>
  <c r="M38" i="3" l="1"/>
  <c r="F39" i="3" s="1"/>
  <c r="I172" i="3"/>
  <c r="K172" i="3"/>
  <c r="L38" i="3"/>
  <c r="E39" i="3" s="1"/>
  <c r="H39" i="3"/>
  <c r="K39" i="3" l="1"/>
  <c r="L39" i="3" s="1"/>
  <c r="E40" i="3" s="1"/>
  <c r="I39" i="3"/>
  <c r="L172" i="3"/>
  <c r="E173" i="3" s="1"/>
  <c r="N172" i="3"/>
  <c r="G173" i="3" s="1"/>
  <c r="M172" i="3"/>
  <c r="F173" i="3" s="1"/>
  <c r="H173" i="3"/>
  <c r="K173" i="3" l="1"/>
  <c r="I173" i="3"/>
  <c r="N39" i="3"/>
  <c r="G40" i="3" s="1"/>
  <c r="M39" i="3"/>
  <c r="F40" i="3" s="1"/>
  <c r="H40" i="3"/>
  <c r="K40" i="3" l="1"/>
  <c r="M40" i="3" s="1"/>
  <c r="F41" i="3" s="1"/>
  <c r="I40" i="3"/>
  <c r="N173" i="3"/>
  <c r="G174" i="3" s="1"/>
  <c r="M173" i="3"/>
  <c r="F174" i="3" s="1"/>
  <c r="L173" i="3"/>
  <c r="E174" i="3" s="1"/>
  <c r="H174" i="3"/>
  <c r="I174" i="3" l="1"/>
  <c r="K174" i="3"/>
  <c r="M174" i="3" s="1"/>
  <c r="F175" i="3" s="1"/>
  <c r="L40" i="3"/>
  <c r="E41" i="3" s="1"/>
  <c r="N40" i="3"/>
  <c r="G41" i="3" s="1"/>
  <c r="H41" i="3"/>
  <c r="L174" i="3" l="1"/>
  <c r="E175" i="3" s="1"/>
  <c r="N174" i="3"/>
  <c r="G175" i="3" s="1"/>
  <c r="K41" i="3"/>
  <c r="I41" i="3"/>
  <c r="H175" i="3"/>
  <c r="K175" i="3" l="1"/>
  <c r="L175" i="3" s="1"/>
  <c r="E176" i="3" s="1"/>
  <c r="I175" i="3"/>
  <c r="N41" i="3"/>
  <c r="G42" i="3" s="1"/>
  <c r="L41" i="3"/>
  <c r="E42" i="3" s="1"/>
  <c r="M41" i="3"/>
  <c r="F42" i="3" s="1"/>
  <c r="H42" i="3"/>
  <c r="N175" i="3" l="1"/>
  <c r="G176" i="3" s="1"/>
  <c r="M175" i="3"/>
  <c r="F176" i="3" s="1"/>
  <c r="I42" i="3"/>
  <c r="K42" i="3"/>
  <c r="H176" i="3"/>
  <c r="I176" i="3" l="1"/>
  <c r="K176" i="3"/>
  <c r="M176" i="3" s="1"/>
  <c r="F177" i="3" s="1"/>
  <c r="L176" i="3"/>
  <c r="E177" i="3" s="1"/>
  <c r="N176" i="3"/>
  <c r="G177" i="3" s="1"/>
  <c r="M42" i="3"/>
  <c r="F43" i="3" s="1"/>
  <c r="L42" i="3"/>
  <c r="E43" i="3" s="1"/>
  <c r="N42" i="3"/>
  <c r="G43" i="3" s="1"/>
  <c r="H177" i="3"/>
  <c r="H43" i="3"/>
  <c r="I43" i="3" l="1"/>
  <c r="K43" i="3"/>
  <c r="N43" i="3" s="1"/>
  <c r="G44" i="3" s="1"/>
  <c r="K177" i="3"/>
  <c r="M177" i="3" s="1"/>
  <c r="F178" i="3" s="1"/>
  <c r="I177" i="3"/>
  <c r="N177" i="3"/>
  <c r="G178" i="3" s="1"/>
  <c r="L177" i="3"/>
  <c r="E178" i="3" s="1"/>
  <c r="H178" i="3"/>
  <c r="K178" i="3" l="1"/>
  <c r="I178" i="3"/>
  <c r="M43" i="3"/>
  <c r="F44" i="3" s="1"/>
  <c r="L43" i="3"/>
  <c r="E44" i="3" s="1"/>
  <c r="L178" i="3"/>
  <c r="E179" i="3" s="1"/>
  <c r="H44" i="3"/>
  <c r="K44" i="3" l="1"/>
  <c r="I44" i="3"/>
  <c r="L44" i="3"/>
  <c r="E45" i="3" s="1"/>
  <c r="N178" i="3"/>
  <c r="G179" i="3" s="1"/>
  <c r="M178" i="3"/>
  <c r="F179" i="3" s="1"/>
  <c r="H179" i="3"/>
  <c r="K179" i="3" l="1"/>
  <c r="I179" i="3"/>
  <c r="M44" i="3"/>
  <c r="F45" i="3" s="1"/>
  <c r="N44" i="3"/>
  <c r="G45" i="3" s="1"/>
  <c r="H45" i="3"/>
  <c r="I45" i="3" l="1"/>
  <c r="K45" i="3"/>
  <c r="L179" i="3"/>
  <c r="E180" i="3" s="1"/>
  <c r="M179" i="3"/>
  <c r="F180" i="3" s="1"/>
  <c r="N179" i="3"/>
  <c r="G180" i="3" s="1"/>
  <c r="H180" i="3"/>
  <c r="I180" i="3" l="1"/>
  <c r="K180" i="3"/>
  <c r="L45" i="3"/>
  <c r="E46" i="3" s="1"/>
  <c r="M45" i="3"/>
  <c r="F46" i="3" s="1"/>
  <c r="N45" i="3"/>
  <c r="G46" i="3" s="1"/>
  <c r="H46" i="3"/>
  <c r="I46" i="3" l="1"/>
  <c r="K46" i="3"/>
  <c r="N180" i="3"/>
  <c r="G181" i="3" s="1"/>
  <c r="M180" i="3"/>
  <c r="F181" i="3" s="1"/>
  <c r="L180" i="3"/>
  <c r="E181" i="3" s="1"/>
  <c r="L46" i="3"/>
  <c r="E47" i="3" s="1"/>
  <c r="H181" i="3"/>
  <c r="K181" i="3" l="1"/>
  <c r="I181" i="3"/>
  <c r="M46" i="3"/>
  <c r="F47" i="3" s="1"/>
  <c r="N46" i="3"/>
  <c r="G47" i="3" s="1"/>
  <c r="H47" i="3"/>
  <c r="I47" i="3" l="1"/>
  <c r="K47" i="3"/>
  <c r="M181" i="3"/>
  <c r="F182" i="3" s="1"/>
  <c r="N181" i="3"/>
  <c r="G182" i="3" s="1"/>
  <c r="L181" i="3"/>
  <c r="E182" i="3" s="1"/>
  <c r="H182" i="3"/>
  <c r="I182" i="3" l="1"/>
  <c r="K182" i="3"/>
  <c r="N182" i="3" s="1"/>
  <c r="G183" i="3" s="1"/>
  <c r="N47" i="3"/>
  <c r="G48" i="3" s="1"/>
  <c r="M47" i="3"/>
  <c r="F48" i="3" s="1"/>
  <c r="L47" i="3"/>
  <c r="E48" i="3" s="1"/>
  <c r="H48" i="3"/>
  <c r="I48" i="3" l="1"/>
  <c r="K48" i="3"/>
  <c r="M48" i="3" s="1"/>
  <c r="F49" i="3" s="1"/>
  <c r="M182" i="3"/>
  <c r="F183" i="3" s="1"/>
  <c r="L182" i="3"/>
  <c r="E183" i="3" s="1"/>
  <c r="N48" i="3"/>
  <c r="G49" i="3" s="1"/>
  <c r="H183" i="3"/>
  <c r="L48" i="3" l="1"/>
  <c r="E49" i="3" s="1"/>
  <c r="I183" i="3"/>
  <c r="K183" i="3"/>
  <c r="N183" i="3" s="1"/>
  <c r="M183" i="3"/>
  <c r="L183" i="3"/>
  <c r="H49" i="3"/>
  <c r="I49" i="3" l="1"/>
  <c r="K49" i="3"/>
  <c r="N49" i="3" l="1"/>
  <c r="G50" i="3" s="1"/>
  <c r="L49" i="3"/>
  <c r="E50" i="3" s="1"/>
  <c r="M49" i="3"/>
  <c r="F50" i="3" s="1"/>
  <c r="H50" i="3"/>
  <c r="K50" i="3" l="1"/>
  <c r="I50" i="3"/>
  <c r="M50" i="3"/>
  <c r="F51" i="3" s="1"/>
  <c r="N50" i="3" l="1"/>
  <c r="G51" i="3" s="1"/>
  <c r="L50" i="3"/>
  <c r="E51" i="3" s="1"/>
  <c r="H51" i="3"/>
  <c r="K51" i="3" l="1"/>
  <c r="M51" i="3" s="1"/>
  <c r="F52" i="3" s="1"/>
  <c r="I51" i="3"/>
  <c r="L51" i="3"/>
  <c r="E52" i="3" s="1"/>
  <c r="N51" i="3"/>
  <c r="G52" i="3" s="1"/>
  <c r="H52" i="3"/>
  <c r="I52" i="3" l="1"/>
  <c r="K52" i="3"/>
  <c r="N52" i="3"/>
  <c r="G53" i="3" s="1"/>
  <c r="L52" i="3" l="1"/>
  <c r="E53" i="3" s="1"/>
  <c r="M52" i="3"/>
  <c r="F53" i="3" s="1"/>
  <c r="H53" i="3"/>
  <c r="I53" i="3" l="1"/>
  <c r="K53" i="3"/>
  <c r="N53" i="3" l="1"/>
  <c r="G54" i="3" s="1"/>
  <c r="M53" i="3"/>
  <c r="F54" i="3" s="1"/>
  <c r="L53" i="3"/>
  <c r="E54" i="3" s="1"/>
  <c r="H54" i="3"/>
  <c r="I54" i="3" l="1"/>
  <c r="K54" i="3"/>
  <c r="M54" i="3" l="1"/>
  <c r="F55" i="3" s="1"/>
  <c r="L54" i="3"/>
  <c r="E55" i="3" s="1"/>
  <c r="N54" i="3"/>
  <c r="G55" i="3" s="1"/>
  <c r="H55" i="3"/>
  <c r="I55" i="3" l="1"/>
  <c r="K55" i="3"/>
  <c r="N55" i="3"/>
  <c r="G56" i="3" s="1"/>
  <c r="L55" i="3" l="1"/>
  <c r="E56" i="3" s="1"/>
  <c r="M55" i="3"/>
  <c r="F56" i="3" s="1"/>
  <c r="H56" i="3"/>
  <c r="K56" i="3" l="1"/>
  <c r="I56" i="3"/>
  <c r="L56" i="3" l="1"/>
  <c r="E57" i="3" s="1"/>
  <c r="M56" i="3"/>
  <c r="F57" i="3" s="1"/>
  <c r="N56" i="3"/>
  <c r="G57" i="3" s="1"/>
  <c r="H57" i="3"/>
  <c r="K57" i="3" l="1"/>
  <c r="I57" i="3"/>
  <c r="N57" i="3" l="1"/>
  <c r="G58" i="3" s="1"/>
  <c r="M57" i="3"/>
  <c r="F58" i="3" s="1"/>
  <c r="L57" i="3"/>
  <c r="E58" i="3" s="1"/>
  <c r="H58" i="3"/>
  <c r="K58" i="3" l="1"/>
  <c r="I58" i="3"/>
  <c r="M58" i="3"/>
  <c r="F59" i="3" s="1"/>
  <c r="N58" i="3" l="1"/>
  <c r="G59" i="3" s="1"/>
  <c r="L58" i="3"/>
  <c r="E59" i="3" s="1"/>
  <c r="H59" i="3"/>
  <c r="K59" i="3" l="1"/>
  <c r="I59" i="3"/>
  <c r="N59" i="3" l="1"/>
  <c r="G60" i="3" s="1"/>
  <c r="L59" i="3"/>
  <c r="E60" i="3" s="1"/>
  <c r="M59" i="3"/>
  <c r="F60" i="3" s="1"/>
  <c r="H60" i="3"/>
  <c r="K60" i="3" l="1"/>
  <c r="I60" i="3"/>
  <c r="M60" i="3" l="1"/>
  <c r="F61" i="3" s="1"/>
  <c r="N60" i="3"/>
  <c r="G61" i="3" s="1"/>
  <c r="L60" i="3"/>
  <c r="E61" i="3" s="1"/>
  <c r="H61" i="3"/>
  <c r="K61" i="3" l="1"/>
  <c r="I61" i="3"/>
  <c r="N61" i="3" l="1"/>
  <c r="G62" i="3" s="1"/>
  <c r="M61" i="3"/>
  <c r="F62" i="3" s="1"/>
  <c r="L61" i="3"/>
  <c r="E62" i="3" s="1"/>
  <c r="H62" i="3"/>
  <c r="K62" i="3" l="1"/>
  <c r="I62" i="3"/>
  <c r="M62" i="3" l="1"/>
  <c r="F63" i="3" s="1"/>
  <c r="N62" i="3"/>
  <c r="G63" i="3" s="1"/>
  <c r="L62" i="3"/>
  <c r="E63" i="3" s="1"/>
  <c r="H63" i="3"/>
  <c r="K63" i="3" l="1"/>
  <c r="I63" i="3"/>
  <c r="N63" i="3" l="1"/>
  <c r="G64" i="3" s="1"/>
  <c r="M63" i="3"/>
  <c r="F64" i="3" s="1"/>
  <c r="L63" i="3"/>
  <c r="E64" i="3" s="1"/>
  <c r="H64" i="3"/>
  <c r="I64" i="3" l="1"/>
  <c r="K64" i="3"/>
  <c r="M64" i="3" l="1"/>
  <c r="F65" i="3" s="1"/>
  <c r="L64" i="3"/>
  <c r="E65" i="3" s="1"/>
  <c r="N64" i="3"/>
  <c r="G65" i="3" s="1"/>
  <c r="H65" i="3"/>
  <c r="K65" i="3" l="1"/>
  <c r="I65" i="3"/>
  <c r="N65" i="3" l="1"/>
  <c r="G66" i="3" s="1"/>
  <c r="L65" i="3"/>
  <c r="E66" i="3" s="1"/>
  <c r="M65" i="3"/>
  <c r="F66" i="3" s="1"/>
  <c r="H66" i="3"/>
  <c r="K66" i="3" l="1"/>
  <c r="I66" i="3"/>
  <c r="N66" i="3" l="1"/>
  <c r="G67" i="3" s="1"/>
  <c r="L66" i="3"/>
  <c r="E67" i="3" s="1"/>
  <c r="M66" i="3"/>
  <c r="F67" i="3" s="1"/>
  <c r="H67" i="3"/>
  <c r="I67" i="3" l="1"/>
  <c r="K67" i="3"/>
  <c r="N67" i="3" l="1"/>
  <c r="G68" i="3" s="1"/>
  <c r="M67" i="3"/>
  <c r="F68" i="3" s="1"/>
  <c r="L67" i="3"/>
  <c r="E68" i="3" s="1"/>
  <c r="H68" i="3"/>
  <c r="K68" i="3" l="1"/>
  <c r="I68" i="3"/>
  <c r="N68" i="3" l="1"/>
  <c r="G69" i="3" s="1"/>
  <c r="L68" i="3"/>
  <c r="E69" i="3" s="1"/>
  <c r="M68" i="3"/>
  <c r="F69" i="3" s="1"/>
  <c r="H69" i="3"/>
  <c r="K69" i="3" l="1"/>
  <c r="I69" i="3"/>
  <c r="M69" i="3" l="1"/>
  <c r="F70" i="3" s="1"/>
  <c r="L69" i="3"/>
  <c r="E70" i="3" s="1"/>
  <c r="N69" i="3"/>
  <c r="G70" i="3" s="1"/>
  <c r="H70" i="3"/>
  <c r="K70" i="3" l="1"/>
  <c r="I70" i="3"/>
  <c r="M70" i="3" l="1"/>
  <c r="F71" i="3" s="1"/>
  <c r="N70" i="3"/>
  <c r="G71" i="3" s="1"/>
  <c r="L70" i="3"/>
  <c r="E71" i="3" s="1"/>
  <c r="H71" i="3"/>
  <c r="K71" i="3" l="1"/>
  <c r="I71" i="3"/>
  <c r="M71" i="3" l="1"/>
  <c r="F72" i="3" s="1"/>
  <c r="N71" i="3"/>
  <c r="G72" i="3" s="1"/>
  <c r="L71" i="3"/>
  <c r="E72" i="3" s="1"/>
  <c r="H72" i="3"/>
  <c r="K72" i="3" l="1"/>
  <c r="I72" i="3"/>
  <c r="N72" i="3" l="1"/>
  <c r="G73" i="3" s="1"/>
  <c r="M72" i="3"/>
  <c r="F73" i="3" s="1"/>
  <c r="L72" i="3"/>
  <c r="E73" i="3" s="1"/>
  <c r="H73" i="3"/>
  <c r="I73" i="3" l="1"/>
  <c r="K73" i="3"/>
  <c r="M73" i="3" l="1"/>
  <c r="F74" i="3" s="1"/>
  <c r="N73" i="3"/>
  <c r="G74" i="3" s="1"/>
  <c r="L73" i="3"/>
  <c r="E74" i="3" s="1"/>
  <c r="H74" i="3"/>
  <c r="I74" i="3" l="1"/>
  <c r="K74" i="3"/>
  <c r="N74" i="3" l="1"/>
  <c r="G75" i="3" s="1"/>
  <c r="M74" i="3"/>
  <c r="F75" i="3" s="1"/>
  <c r="L74" i="3"/>
  <c r="E75" i="3" s="1"/>
  <c r="H75" i="3"/>
  <c r="I75" i="3" l="1"/>
  <c r="K75" i="3"/>
  <c r="M75" i="3" l="1"/>
  <c r="F76" i="3" s="1"/>
  <c r="L75" i="3"/>
  <c r="E76" i="3" s="1"/>
  <c r="N75" i="3"/>
  <c r="G76" i="3" s="1"/>
  <c r="H76" i="3"/>
  <c r="I76" i="3" l="1"/>
  <c r="K76" i="3"/>
  <c r="N76" i="3" l="1"/>
  <c r="G77" i="3" s="1"/>
  <c r="M76" i="3"/>
  <c r="F77" i="3" s="1"/>
  <c r="L76" i="3"/>
  <c r="E77" i="3" s="1"/>
  <c r="H77" i="3"/>
  <c r="K77" i="3" l="1"/>
  <c r="I77" i="3"/>
  <c r="L77" i="3"/>
  <c r="E78" i="3" s="1"/>
  <c r="M77" i="3" l="1"/>
  <c r="F78" i="3" s="1"/>
  <c r="N77" i="3"/>
  <c r="G78" i="3" s="1"/>
  <c r="H78" i="3"/>
  <c r="I78" i="3" l="1"/>
  <c r="K78" i="3"/>
  <c r="N78" i="3" l="1"/>
  <c r="G79" i="3" s="1"/>
  <c r="L78" i="3"/>
  <c r="E79" i="3" s="1"/>
  <c r="M78" i="3"/>
  <c r="F79" i="3" s="1"/>
  <c r="H79" i="3"/>
  <c r="I79" i="3" l="1"/>
  <c r="K79" i="3"/>
  <c r="M79" i="3" l="1"/>
  <c r="F80" i="3" s="1"/>
  <c r="L79" i="3"/>
  <c r="E80" i="3" s="1"/>
  <c r="N79" i="3"/>
  <c r="G80" i="3" s="1"/>
  <c r="H80" i="3"/>
  <c r="K80" i="3" l="1"/>
  <c r="I80" i="3"/>
  <c r="N80" i="3" l="1"/>
  <c r="G81" i="3" s="1"/>
  <c r="M80" i="3"/>
  <c r="F81" i="3" s="1"/>
  <c r="L80" i="3"/>
  <c r="E81" i="3" s="1"/>
  <c r="H81" i="3"/>
  <c r="K81" i="3" l="1"/>
  <c r="I81" i="3"/>
  <c r="M81" i="3" l="1"/>
  <c r="F82" i="3" s="1"/>
  <c r="N81" i="3"/>
  <c r="G82" i="3" s="1"/>
  <c r="L81" i="3"/>
  <c r="E82" i="3" s="1"/>
  <c r="H82" i="3"/>
  <c r="K82" i="3" l="1"/>
  <c r="I82" i="3"/>
  <c r="L82" i="3" l="1"/>
  <c r="E83" i="3" s="1"/>
  <c r="M82" i="3"/>
  <c r="F83" i="3" s="1"/>
  <c r="N82" i="3"/>
  <c r="G83" i="3" s="1"/>
  <c r="H83" i="3"/>
  <c r="I83" i="3" l="1"/>
  <c r="K83" i="3"/>
  <c r="M83" i="3" l="1"/>
  <c r="F84" i="3" s="1"/>
  <c r="N83" i="3"/>
  <c r="G84" i="3" s="1"/>
  <c r="L83" i="3"/>
  <c r="E84" i="3" s="1"/>
  <c r="H84" i="3"/>
  <c r="K84" i="3" l="1"/>
  <c r="I84" i="3"/>
  <c r="M84" i="3" l="1"/>
  <c r="F85" i="3" s="1"/>
  <c r="L84" i="3"/>
  <c r="E85" i="3" s="1"/>
  <c r="N84" i="3"/>
  <c r="G85" i="3" s="1"/>
  <c r="H85" i="3"/>
  <c r="K85" i="3" l="1"/>
  <c r="I85" i="3"/>
  <c r="L85" i="3" l="1"/>
  <c r="E86" i="3" s="1"/>
  <c r="N85" i="3"/>
  <c r="G86" i="3" s="1"/>
  <c r="M85" i="3"/>
  <c r="F86" i="3" s="1"/>
  <c r="H86" i="3"/>
  <c r="I86" i="3" l="1"/>
  <c r="K86" i="3"/>
  <c r="M86" i="3" l="1"/>
  <c r="F87" i="3" s="1"/>
  <c r="L86" i="3"/>
  <c r="E87" i="3" s="1"/>
  <c r="N86" i="3"/>
  <c r="G87" i="3" s="1"/>
  <c r="H87" i="3"/>
  <c r="K87" i="3" l="1"/>
  <c r="I87" i="3"/>
  <c r="N87" i="3" l="1"/>
  <c r="G88" i="3" s="1"/>
  <c r="L87" i="3"/>
  <c r="E88" i="3" s="1"/>
  <c r="M87" i="3"/>
  <c r="F88" i="3" s="1"/>
  <c r="H88" i="3"/>
  <c r="K88" i="3" l="1"/>
  <c r="I88" i="3"/>
  <c r="N88" i="3" l="1"/>
  <c r="G89" i="3" s="1"/>
  <c r="L88" i="3"/>
  <c r="E89" i="3" s="1"/>
  <c r="M88" i="3"/>
  <c r="F89" i="3" s="1"/>
  <c r="H89" i="3"/>
  <c r="K89" i="3" l="1"/>
  <c r="I89" i="3"/>
  <c r="L89" i="3" l="1"/>
  <c r="E90" i="3" s="1"/>
  <c r="N89" i="3"/>
  <c r="G90" i="3" s="1"/>
  <c r="M89" i="3"/>
  <c r="F90" i="3" s="1"/>
  <c r="H90" i="3"/>
  <c r="K90" i="3" l="1"/>
  <c r="I90" i="3"/>
  <c r="L90" i="3" l="1"/>
  <c r="E91" i="3" s="1"/>
  <c r="N90" i="3"/>
  <c r="G91" i="3" s="1"/>
  <c r="M90" i="3"/>
  <c r="F91" i="3" s="1"/>
  <c r="H91" i="3"/>
  <c r="K91" i="3" l="1"/>
  <c r="I91" i="3"/>
  <c r="L91" i="3" l="1"/>
  <c r="E92" i="3" s="1"/>
  <c r="N91" i="3"/>
  <c r="G92" i="3" s="1"/>
  <c r="M91" i="3"/>
  <c r="F92" i="3" s="1"/>
  <c r="H92" i="3"/>
  <c r="K92" i="3" l="1"/>
  <c r="I92" i="3"/>
  <c r="N92" i="3" l="1"/>
  <c r="G93" i="3" s="1"/>
  <c r="L92" i="3"/>
  <c r="E93" i="3" s="1"/>
  <c r="M92" i="3"/>
  <c r="F93" i="3" s="1"/>
  <c r="H93" i="3"/>
  <c r="K93" i="3" l="1"/>
  <c r="I93" i="3"/>
  <c r="L93" i="3" l="1"/>
  <c r="E94" i="3" s="1"/>
  <c r="N93" i="3"/>
  <c r="G94" i="3" s="1"/>
  <c r="M93" i="3"/>
  <c r="F94" i="3" s="1"/>
  <c r="H94" i="3"/>
  <c r="K94" i="3" l="1"/>
  <c r="I94" i="3"/>
  <c r="M94" i="3" l="1"/>
  <c r="F95" i="3" s="1"/>
  <c r="L94" i="3"/>
  <c r="E95" i="3" s="1"/>
  <c r="N94" i="3"/>
  <c r="G95" i="3" s="1"/>
  <c r="H95" i="3"/>
  <c r="I95" i="3" l="1"/>
  <c r="K95" i="3"/>
  <c r="N95" i="3" l="1"/>
  <c r="G96" i="3" s="1"/>
  <c r="L95" i="3"/>
  <c r="E96" i="3" s="1"/>
  <c r="M95" i="3"/>
  <c r="F96" i="3" s="1"/>
  <c r="H96" i="3"/>
  <c r="K96" i="3" l="1"/>
  <c r="I96" i="3"/>
  <c r="L96" i="3" l="1"/>
  <c r="E97" i="3" s="1"/>
  <c r="N96" i="3"/>
  <c r="G97" i="3" s="1"/>
  <c r="M96" i="3"/>
  <c r="F97" i="3" s="1"/>
  <c r="H97" i="3"/>
  <c r="K97" i="3" l="1"/>
  <c r="I97" i="3"/>
  <c r="M97" i="3" l="1"/>
  <c r="F98" i="3" s="1"/>
  <c r="L97" i="3"/>
  <c r="E98" i="3" s="1"/>
  <c r="N97" i="3"/>
  <c r="G98" i="3" s="1"/>
  <c r="H98" i="3"/>
  <c r="I98" i="3" l="1"/>
  <c r="K98" i="3"/>
  <c r="N98" i="3" l="1"/>
  <c r="G99" i="3" s="1"/>
  <c r="M98" i="3"/>
  <c r="F99" i="3" s="1"/>
  <c r="L98" i="3"/>
  <c r="E99" i="3" s="1"/>
  <c r="H99" i="3"/>
  <c r="K99" i="3" l="1"/>
  <c r="I99" i="3"/>
  <c r="M99" i="3" l="1"/>
  <c r="F100" i="3" s="1"/>
  <c r="L99" i="3"/>
  <c r="E100" i="3" s="1"/>
  <c r="N99" i="3"/>
  <c r="G100" i="3" s="1"/>
  <c r="H100" i="3"/>
  <c r="I100" i="3" l="1"/>
  <c r="K100" i="3"/>
  <c r="L100" i="3" l="1"/>
  <c r="E101" i="3" s="1"/>
  <c r="N100" i="3"/>
  <c r="G101" i="3" s="1"/>
  <c r="M100" i="3"/>
  <c r="F101" i="3" s="1"/>
  <c r="H101" i="3"/>
  <c r="K101" i="3" l="1"/>
  <c r="I101" i="3"/>
  <c r="M101" i="3" l="1"/>
  <c r="F102" i="3" s="1"/>
  <c r="N101" i="3"/>
  <c r="G102" i="3" s="1"/>
  <c r="L101" i="3"/>
  <c r="E102" i="3" s="1"/>
  <c r="H102" i="3"/>
  <c r="I102" i="3" l="1"/>
  <c r="K102" i="3"/>
  <c r="M102" i="3" l="1"/>
  <c r="F103" i="3" s="1"/>
  <c r="L102" i="3"/>
  <c r="E103" i="3" s="1"/>
  <c r="N102" i="3"/>
  <c r="G103" i="3" s="1"/>
  <c r="H103" i="3"/>
  <c r="I103" i="3" l="1"/>
  <c r="K103" i="3"/>
  <c r="L103" i="3" l="1"/>
  <c r="E104" i="3" s="1"/>
  <c r="N103" i="3"/>
  <c r="G104" i="3" s="1"/>
  <c r="M103" i="3"/>
  <c r="F104" i="3" s="1"/>
  <c r="H104" i="3"/>
  <c r="I104" i="3" l="1"/>
  <c r="K104" i="3"/>
  <c r="M104" i="3" l="1"/>
  <c r="F105" i="3" s="1"/>
  <c r="N104" i="3"/>
  <c r="G105" i="3" s="1"/>
  <c r="L104" i="3"/>
  <c r="E105" i="3" s="1"/>
  <c r="H105" i="3"/>
  <c r="K105" i="3" l="1"/>
  <c r="I105" i="3"/>
  <c r="N105" i="3" l="1"/>
  <c r="G106" i="3" s="1"/>
  <c r="M105" i="3"/>
  <c r="F106" i="3" s="1"/>
  <c r="L105" i="3"/>
  <c r="E106" i="3" s="1"/>
  <c r="H106" i="3"/>
  <c r="I106" i="3" l="1"/>
  <c r="K106" i="3"/>
  <c r="N106" i="3" l="1"/>
  <c r="G107" i="3" s="1"/>
  <c r="M106" i="3"/>
  <c r="F107" i="3" s="1"/>
  <c r="L106" i="3"/>
  <c r="E107" i="3" s="1"/>
  <c r="H107" i="3"/>
  <c r="K107" i="3" l="1"/>
  <c r="I107" i="3"/>
  <c r="M107" i="3" l="1"/>
  <c r="F108" i="3" s="1"/>
  <c r="L107" i="3"/>
  <c r="E108" i="3" s="1"/>
  <c r="N107" i="3"/>
  <c r="G108" i="3" s="1"/>
  <c r="H108" i="3"/>
  <c r="K108" i="3" l="1"/>
  <c r="I108" i="3"/>
  <c r="N108" i="3" l="1"/>
  <c r="G109" i="3" s="1"/>
  <c r="L108" i="3"/>
  <c r="E109" i="3" s="1"/>
  <c r="M108" i="3"/>
  <c r="F109" i="3" s="1"/>
  <c r="H109" i="3"/>
  <c r="K109" i="3" l="1"/>
  <c r="I109" i="3"/>
  <c r="M109" i="3" l="1"/>
  <c r="F110" i="3" s="1"/>
  <c r="L109" i="3"/>
  <c r="E110" i="3" s="1"/>
  <c r="N109" i="3"/>
  <c r="G110" i="3" s="1"/>
  <c r="H110" i="3"/>
  <c r="K110" i="3" l="1"/>
  <c r="I110" i="3"/>
  <c r="N110" i="3" l="1"/>
  <c r="G111" i="3" s="1"/>
  <c r="M110" i="3"/>
  <c r="F111" i="3" s="1"/>
  <c r="L110" i="3"/>
  <c r="E111" i="3" s="1"/>
  <c r="H111" i="3"/>
  <c r="K111" i="3" l="1"/>
  <c r="I111" i="3"/>
  <c r="L111" i="3" l="1"/>
  <c r="E112" i="3" s="1"/>
  <c r="M111" i="3"/>
  <c r="F112" i="3" s="1"/>
  <c r="N111" i="3"/>
  <c r="G112" i="3" s="1"/>
  <c r="H112" i="3"/>
  <c r="K112" i="3" l="1"/>
  <c r="I112" i="3"/>
  <c r="N112" i="3"/>
  <c r="G113" i="3" s="1"/>
  <c r="M112" i="3" l="1"/>
  <c r="F113" i="3" s="1"/>
  <c r="L112" i="3"/>
  <c r="E113" i="3" s="1"/>
  <c r="H113" i="3"/>
  <c r="K113" i="3" l="1"/>
  <c r="I113" i="3"/>
  <c r="L113" i="3" l="1"/>
  <c r="E114" i="3" s="1"/>
  <c r="N113" i="3"/>
  <c r="G114" i="3" s="1"/>
  <c r="M113" i="3"/>
  <c r="F114" i="3" s="1"/>
  <c r="H114" i="3"/>
  <c r="I114" i="3" l="1"/>
  <c r="K114" i="3"/>
  <c r="N114" i="3"/>
  <c r="G115" i="3" s="1"/>
  <c r="M114" i="3" l="1"/>
  <c r="F115" i="3" s="1"/>
  <c r="L114" i="3"/>
  <c r="E115" i="3" s="1"/>
  <c r="H115" i="3"/>
  <c r="K115" i="3" l="1"/>
  <c r="I115" i="3"/>
  <c r="L115" i="3" l="1"/>
  <c r="E116" i="3" s="1"/>
  <c r="N115" i="3"/>
  <c r="G116" i="3" s="1"/>
  <c r="M115" i="3"/>
  <c r="F116" i="3" s="1"/>
  <c r="H116" i="3"/>
  <c r="I116" i="3" l="1"/>
  <c r="K116" i="3"/>
  <c r="N116" i="3" l="1"/>
  <c r="G117" i="3" s="1"/>
  <c r="L116" i="3"/>
  <c r="E117" i="3" s="1"/>
  <c r="M116" i="3"/>
  <c r="F117" i="3" s="1"/>
  <c r="H117" i="3"/>
  <c r="I117" i="3" l="1"/>
  <c r="K117" i="3"/>
  <c r="M117" i="3"/>
  <c r="F118" i="3" s="1"/>
  <c r="L117" i="3"/>
  <c r="E118" i="3" s="1"/>
  <c r="N117" i="3"/>
  <c r="G118" i="3" s="1"/>
  <c r="H118" i="3"/>
  <c r="I118" i="3" l="1"/>
  <c r="K118" i="3"/>
  <c r="N118" i="3" l="1"/>
  <c r="G119" i="3" s="1"/>
  <c r="M118" i="3"/>
  <c r="F119" i="3" s="1"/>
  <c r="L118" i="3"/>
  <c r="E119" i="3" s="1"/>
  <c r="H119" i="3"/>
  <c r="K119" i="3" l="1"/>
  <c r="I119" i="3"/>
  <c r="N119" i="3" l="1"/>
  <c r="G120" i="3" s="1"/>
  <c r="L119" i="3"/>
  <c r="E120" i="3" s="1"/>
  <c r="M119" i="3"/>
  <c r="F120" i="3" s="1"/>
  <c r="H120" i="3"/>
  <c r="I120" i="3" l="1"/>
  <c r="K120" i="3"/>
  <c r="N120" i="3" l="1"/>
  <c r="G121" i="3" s="1"/>
  <c r="M120" i="3"/>
  <c r="F121" i="3" s="1"/>
  <c r="L120" i="3"/>
  <c r="E121" i="3" s="1"/>
  <c r="H121" i="3"/>
  <c r="I121" i="3" l="1"/>
  <c r="K121" i="3"/>
  <c r="N121" i="3" l="1"/>
  <c r="G122" i="3" s="1"/>
  <c r="L121" i="3"/>
  <c r="E122" i="3" s="1"/>
  <c r="M121" i="3"/>
  <c r="F122" i="3" s="1"/>
  <c r="H122" i="3"/>
  <c r="N7" i="7"/>
  <c r="N4" i="7"/>
  <c r="N8" i="7"/>
  <c r="N6" i="7"/>
  <c r="N2" i="7"/>
  <c r="N5" i="7"/>
  <c r="N3" i="7"/>
  <c r="I122" i="3" l="1"/>
  <c r="K122" i="3"/>
  <c r="V4" i="7"/>
  <c r="V7" i="7"/>
  <c r="V5" i="7"/>
  <c r="V6" i="7"/>
  <c r="V8" i="7"/>
  <c r="V2" i="7"/>
  <c r="V3" i="7"/>
  <c r="M122" i="3" l="1"/>
  <c r="F123" i="3" s="1"/>
  <c r="N122" i="3"/>
  <c r="G123" i="3" s="1"/>
  <c r="L122" i="3"/>
  <c r="E123" i="3" s="1"/>
  <c r="Z2" i="7"/>
  <c r="H12" i="7" s="1"/>
  <c r="W2" i="7"/>
  <c r="X23" i="7" s="1"/>
  <c r="W4" i="7"/>
  <c r="W6" i="7"/>
  <c r="W5" i="7"/>
  <c r="W8" i="7"/>
  <c r="W3" i="7"/>
  <c r="W7" i="7"/>
  <c r="Z4" i="7"/>
  <c r="Z6" i="7"/>
  <c r="Z5" i="7"/>
  <c r="Z8" i="7"/>
  <c r="Z3" i="7"/>
  <c r="Z7" i="7"/>
  <c r="H123" i="3"/>
  <c r="K123" i="3" l="1"/>
  <c r="I123" i="3"/>
  <c r="J12" i="7"/>
  <c r="K12" i="7"/>
  <c r="T12" i="7"/>
  <c r="S12" i="7"/>
  <c r="U12" i="7"/>
  <c r="O12" i="7"/>
  <c r="I12" i="7"/>
  <c r="M12" i="7"/>
  <c r="P12" i="7"/>
  <c r="G12" i="7"/>
  <c r="R12" i="7"/>
  <c r="L12" i="7"/>
  <c r="Q12" i="7"/>
  <c r="X29" i="7"/>
  <c r="X24" i="7"/>
  <c r="X27" i="7"/>
  <c r="X28" i="7"/>
  <c r="X26" i="7"/>
  <c r="X25" i="7"/>
  <c r="I18" i="7"/>
  <c r="H18" i="7"/>
  <c r="M18" i="7"/>
  <c r="L18" i="7"/>
  <c r="K18" i="7"/>
  <c r="G18" i="7"/>
  <c r="J18" i="7"/>
  <c r="M15" i="7"/>
  <c r="H15" i="7"/>
  <c r="G15" i="7"/>
  <c r="L15" i="7"/>
  <c r="K15" i="7"/>
  <c r="J15" i="7"/>
  <c r="I15" i="7"/>
  <c r="M14" i="7"/>
  <c r="L14" i="7"/>
  <c r="K14" i="7"/>
  <c r="J14" i="7"/>
  <c r="I14" i="7"/>
  <c r="H14" i="7"/>
  <c r="G14" i="7"/>
  <c r="G17" i="7"/>
  <c r="H17" i="7"/>
  <c r="K17" i="7"/>
  <c r="J17" i="7"/>
  <c r="I17" i="7"/>
  <c r="M17" i="7"/>
  <c r="L17" i="7"/>
  <c r="L13" i="7"/>
  <c r="K13" i="7"/>
  <c r="J13" i="7"/>
  <c r="M13" i="7"/>
  <c r="I13" i="7"/>
  <c r="H13" i="7"/>
  <c r="G13" i="7"/>
  <c r="G16" i="7"/>
  <c r="I16" i="7"/>
  <c r="H16" i="7"/>
  <c r="M16" i="7"/>
  <c r="L16" i="7"/>
  <c r="K16" i="7"/>
  <c r="J16" i="7"/>
  <c r="R14" i="7"/>
  <c r="Q14" i="7"/>
  <c r="U14" i="7"/>
  <c r="P14" i="7"/>
  <c r="S14" i="7"/>
  <c r="T14" i="7"/>
  <c r="O14" i="7"/>
  <c r="T13" i="7"/>
  <c r="P13" i="7"/>
  <c r="R13" i="7"/>
  <c r="O13" i="7"/>
  <c r="U13" i="7"/>
  <c r="Q13" i="7"/>
  <c r="S13" i="7"/>
  <c r="O17" i="7"/>
  <c r="P17" i="7"/>
  <c r="R17" i="7"/>
  <c r="U17" i="7"/>
  <c r="T17" i="7"/>
  <c r="Q17" i="7"/>
  <c r="S17" i="7"/>
  <c r="T18" i="7"/>
  <c r="O18" i="7"/>
  <c r="Q18" i="7"/>
  <c r="R18" i="7"/>
  <c r="U18" i="7"/>
  <c r="P18" i="7"/>
  <c r="S18" i="7"/>
  <c r="U15" i="7"/>
  <c r="S15" i="7"/>
  <c r="P15" i="7"/>
  <c r="R15" i="7"/>
  <c r="T15" i="7"/>
  <c r="Q15" i="7"/>
  <c r="O15" i="7"/>
  <c r="U16" i="7"/>
  <c r="O16" i="7"/>
  <c r="T16" i="7"/>
  <c r="S16" i="7"/>
  <c r="P16" i="7"/>
  <c r="R16" i="7"/>
  <c r="Q16" i="7"/>
  <c r="L123" i="3" l="1"/>
  <c r="E124" i="3" s="1"/>
  <c r="M123" i="3"/>
  <c r="F124" i="3" s="1"/>
  <c r="N123" i="3"/>
  <c r="G124" i="3" s="1"/>
  <c r="H124" i="3"/>
  <c r="K124" i="3" l="1"/>
  <c r="I124" i="3"/>
  <c r="M124" i="3"/>
  <c r="F125" i="3" s="1"/>
  <c r="N124" i="3"/>
  <c r="G125" i="3" s="1"/>
  <c r="L124" i="3"/>
  <c r="E125" i="3" s="1"/>
  <c r="H125" i="3"/>
  <c r="I125" i="3" l="1"/>
  <c r="K125" i="3"/>
  <c r="L125" i="3" l="1"/>
  <c r="E126" i="3" s="1"/>
  <c r="N125" i="3"/>
  <c r="G126" i="3" s="1"/>
  <c r="M125" i="3"/>
  <c r="F126" i="3" s="1"/>
  <c r="H126" i="3"/>
  <c r="I126" i="3" l="1"/>
  <c r="K126" i="3"/>
  <c r="M126" i="3" l="1"/>
  <c r="F127" i="3" s="1"/>
  <c r="N126" i="3"/>
  <c r="G127" i="3" s="1"/>
  <c r="L126" i="3"/>
  <c r="E127" i="3" s="1"/>
  <c r="H127" i="3"/>
  <c r="K127" i="3" l="1"/>
  <c r="I127" i="3"/>
  <c r="M127" i="3" l="1"/>
  <c r="F128" i="3" s="1"/>
  <c r="L127" i="3"/>
  <c r="E128" i="3" s="1"/>
  <c r="N127" i="3"/>
  <c r="G128" i="3" s="1"/>
  <c r="H128" i="3"/>
  <c r="K128" i="3" l="1"/>
  <c r="I128" i="3"/>
  <c r="L128" i="3" l="1"/>
  <c r="E129" i="3" s="1"/>
  <c r="M128" i="3"/>
  <c r="F129" i="3" s="1"/>
  <c r="N128" i="3"/>
  <c r="G129" i="3" s="1"/>
  <c r="H129" i="3"/>
  <c r="I129" i="3" l="1"/>
  <c r="K129" i="3"/>
  <c r="N129" i="3" l="1"/>
  <c r="G130" i="3" s="1"/>
  <c r="M129" i="3"/>
  <c r="F130" i="3" s="1"/>
  <c r="L129" i="3"/>
  <c r="E130" i="3" s="1"/>
  <c r="H130" i="3"/>
  <c r="I130" i="3" l="1"/>
  <c r="K130" i="3"/>
  <c r="N130" i="3" l="1"/>
  <c r="G131" i="3" s="1"/>
  <c r="L130" i="3"/>
  <c r="E131" i="3" s="1"/>
  <c r="M130" i="3"/>
  <c r="F131" i="3" s="1"/>
  <c r="H131" i="3"/>
  <c r="I131" i="3" l="1"/>
  <c r="K131" i="3"/>
  <c r="M131" i="3" l="1"/>
  <c r="F132" i="3" s="1"/>
  <c r="L131" i="3"/>
  <c r="E132" i="3" s="1"/>
  <c r="N131" i="3"/>
  <c r="G132" i="3" s="1"/>
  <c r="H132" i="3"/>
  <c r="I132" i="3" l="1"/>
  <c r="K132" i="3"/>
  <c r="M132" i="3" l="1"/>
  <c r="F133" i="3" s="1"/>
  <c r="N132" i="3"/>
  <c r="G133" i="3" s="1"/>
  <c r="L132" i="3"/>
  <c r="E133" i="3" s="1"/>
  <c r="H133" i="3"/>
  <c r="K133" i="3" l="1"/>
  <c r="I133" i="3"/>
  <c r="M133" i="3" l="1"/>
  <c r="F134" i="3" s="1"/>
  <c r="L133" i="3"/>
  <c r="E134" i="3" s="1"/>
  <c r="N133" i="3"/>
  <c r="G134" i="3" s="1"/>
  <c r="H134" i="3"/>
  <c r="I134" i="3" l="1"/>
  <c r="K134" i="3"/>
  <c r="N134" i="3" l="1"/>
  <c r="G135" i="3" s="1"/>
  <c r="L134" i="3"/>
  <c r="E135" i="3" s="1"/>
  <c r="M134" i="3"/>
  <c r="F135" i="3" s="1"/>
  <c r="H135" i="3"/>
  <c r="I135" i="3" l="1"/>
  <c r="K135" i="3"/>
  <c r="M135" i="3" l="1"/>
  <c r="N135" i="3"/>
  <c r="L135" i="3"/>
</calcChain>
</file>

<file path=xl/sharedStrings.xml><?xml version="1.0" encoding="utf-8"?>
<sst xmlns="http://schemas.openxmlformats.org/spreadsheetml/2006/main" count="100" uniqueCount="43">
  <si>
    <t>X0</t>
  </si>
  <si>
    <t>X1</t>
  </si>
  <si>
    <t>X2</t>
  </si>
  <si>
    <t>W0</t>
  </si>
  <si>
    <t>W1</t>
  </si>
  <si>
    <t>W2</t>
  </si>
  <si>
    <t>net</t>
  </si>
  <si>
    <t>changeW0</t>
  </si>
  <si>
    <t>changeW1</t>
  </si>
  <si>
    <t>changeW2</t>
  </si>
  <si>
    <t>Expected</t>
  </si>
  <si>
    <t>learning coefficient</t>
  </si>
  <si>
    <t>Error</t>
  </si>
  <si>
    <t>Output</t>
  </si>
  <si>
    <t>In1</t>
  </si>
  <si>
    <t>In2</t>
  </si>
  <si>
    <t>In0</t>
  </si>
  <si>
    <t>bias</t>
  </si>
  <si>
    <t>Next State</t>
  </si>
  <si>
    <t>rand?</t>
  </si>
  <si>
    <t>n</t>
  </si>
  <si>
    <t>in</t>
  </si>
  <si>
    <t>thru</t>
  </si>
  <si>
    <t>out</t>
  </si>
  <si>
    <t>expected</t>
  </si>
  <si>
    <t>error</t>
  </si>
  <si>
    <t>change1</t>
  </si>
  <si>
    <t>change2</t>
  </si>
  <si>
    <t>y</t>
  </si>
  <si>
    <t>Rotate Left</t>
  </si>
  <si>
    <t>Rotate Right</t>
  </si>
  <si>
    <t>start</t>
  </si>
  <si>
    <t>step</t>
  </si>
  <si>
    <t>last</t>
  </si>
  <si>
    <t>mean</t>
  </si>
  <si>
    <t>rise</t>
  </si>
  <si>
    <t>fall</t>
  </si>
  <si>
    <t>peak</t>
  </si>
  <si>
    <t>trough</t>
  </si>
  <si>
    <t>Kernel</t>
  </si>
  <si>
    <t>first</t>
  </si>
  <si>
    <t>learning
coefficient</t>
  </si>
  <si>
    <t>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</si>
</sst>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000"/>
    <numFmt numFmtId="165" formatCode="0.0E+00"/>
  </numFmts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0"/>
      <color theme="1"/>
      <name val="Consolas"/>
      <family val="3"/>
    </font>
    <font>
      <b/>
      <sz val="10"/>
      <color theme="1"/>
      <name val="Consolas"/>
      <family val="3"/>
    </font>
    <font>
      <b/>
      <u/>
      <sz val="10"/>
      <color theme="1"/>
      <name val="Consolas"/>
      <family val="3"/>
    </font>
    <font>
      <sz val="9"/>
      <color theme="1"/>
      <name val="Consolas"/>
      <family val="3"/>
    </font>
    <font>
      <sz val="12"/>
      <color theme="1"/>
      <name val="Consolas"/>
      <family val="3"/>
    </font>
  </fonts>
  <fills count="10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 style="thick">
        <color auto="1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wrapText="1"/>
    </xf>
    <xf numFmtId="0" fontId="0" fillId="2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1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1" fillId="8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  <xf numFmtId="0" fontId="4" fillId="0" borderId="0" xfId="0" applyFont="1" applyAlignment="1">
      <alignment wrapText="1"/>
    </xf>
    <xf numFmtId="0" fontId="5" fillId="0" borderId="0" xfId="0" applyFont="1"/>
    <xf numFmtId="0" fontId="0" fillId="0" borderId="0" xfId="0" applyFont="1"/>
    <xf numFmtId="0" fontId="0" fillId="0" borderId="0" xfId="0" applyFont="1" applyAlignment="1">
      <alignment wrapText="1"/>
    </xf>
    <xf numFmtId="0" fontId="5" fillId="0" borderId="0" xfId="0" applyFont="1" applyAlignment="1">
      <alignment wrapText="1"/>
    </xf>
    <xf numFmtId="164" fontId="6" fillId="0" borderId="0" xfId="0" applyNumberFormat="1" applyFont="1"/>
    <xf numFmtId="0" fontId="6" fillId="0" borderId="0" xfId="0" applyFont="1"/>
    <xf numFmtId="1" fontId="6" fillId="0" borderId="0" xfId="0" applyNumberFormat="1" applyFont="1"/>
    <xf numFmtId="164" fontId="7" fillId="0" borderId="0" xfId="0" applyNumberFormat="1" applyFont="1"/>
    <xf numFmtId="1" fontId="8" fillId="0" borderId="0" xfId="0" applyNumberFormat="1" applyFont="1"/>
    <xf numFmtId="164" fontId="6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164" fontId="9" fillId="0" borderId="0" xfId="0" applyNumberFormat="1" applyFont="1"/>
    <xf numFmtId="0" fontId="9" fillId="0" borderId="0" xfId="0" applyFont="1"/>
    <xf numFmtId="0" fontId="10" fillId="0" borderId="0" xfId="0" applyFont="1"/>
    <xf numFmtId="1" fontId="10" fillId="0" borderId="0" xfId="0" applyNumberFormat="1" applyFont="1"/>
    <xf numFmtId="1" fontId="6" fillId="0" borderId="1" xfId="0" applyNumberFormat="1" applyFont="1" applyBorder="1"/>
    <xf numFmtId="1" fontId="10" fillId="0" borderId="1" xfId="0" applyNumberFormat="1" applyFont="1" applyBorder="1"/>
    <xf numFmtId="165" fontId="0" fillId="0" borderId="0" xfId="0" applyNumberFormat="1"/>
    <xf numFmtId="11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DC94F48D-59C5-4A29-921B-27D7F4F07EBD}">
      <tableStyleElement type="wholeTable" dxfId="1"/>
      <tableStyleElement type="headerRow" dxfId="0"/>
    </tableStyle>
  </tableStyles>
  <colors>
    <mruColors>
      <color rgb="FFFFFF00"/>
      <color rgb="FF00FF00"/>
      <color rgb="FF0000FF"/>
      <color rgb="FF00FFFF"/>
      <color rgb="FFFF00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Series_K!$W$13:$W$29</c:f>
              <c:numCache>
                <c:formatCode>0</c:formatCode>
                <c:ptCount val="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</c:numCache>
            </c:numRef>
          </c:cat>
          <c:val>
            <c:numRef>
              <c:f>Series_K!$X$13:$X$29</c:f>
              <c:numCache>
                <c:formatCode>General</c:formatCode>
                <c:ptCount val="17"/>
                <c:pt idx="0">
                  <c:v>678</c:v>
                </c:pt>
                <c:pt idx="1">
                  <c:v>677</c:v>
                </c:pt>
                <c:pt idx="2">
                  <c:v>676</c:v>
                </c:pt>
                <c:pt idx="3">
                  <c:v>675</c:v>
                </c:pt>
                <c:pt idx="4">
                  <c:v>674</c:v>
                </c:pt>
                <c:pt idx="5">
                  <c:v>673</c:v>
                </c:pt>
                <c:pt idx="6">
                  <c:v>672</c:v>
                </c:pt>
                <c:pt idx="7">
                  <c:v>671</c:v>
                </c:pt>
                <c:pt idx="8">
                  <c:v>670</c:v>
                </c:pt>
                <c:pt idx="9">
                  <c:v>669</c:v>
                </c:pt>
                <c:pt idx="10" formatCode="0">
                  <c:v>662.79433617888787</c:v>
                </c:pt>
                <c:pt idx="11" formatCode="0">
                  <c:v>663.01928240974144</c:v>
                </c:pt>
                <c:pt idx="12" formatCode="0">
                  <c:v>663.12928150469179</c:v>
                </c:pt>
                <c:pt idx="13" formatCode="0">
                  <c:v>663.30342605432008</c:v>
                </c:pt>
                <c:pt idx="14" formatCode="0">
                  <c:v>663.40629618306536</c:v>
                </c:pt>
                <c:pt idx="15" formatCode="0">
                  <c:v>663.4355477638926</c:v>
                </c:pt>
                <c:pt idx="16" formatCode="0">
                  <c:v>663.46482195873341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3A-4A77-882B-EAD3E81D5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1358944"/>
        <c:axId val="531359272"/>
      </c:lineChart>
      <c:catAx>
        <c:axId val="53135894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359272"/>
        <c:crosses val="autoZero"/>
        <c:auto val="1"/>
        <c:lblAlgn val="ctr"/>
        <c:lblOffset val="100"/>
        <c:noMultiLvlLbl val="0"/>
      </c:catAx>
      <c:valAx>
        <c:axId val="531359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358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147637</xdr:colOff>
      <xdr:row>12</xdr:row>
      <xdr:rowOff>80962</xdr:rowOff>
    </xdr:from>
    <xdr:to>
      <xdr:col>32</xdr:col>
      <xdr:colOff>423862</xdr:colOff>
      <xdr:row>26</xdr:row>
      <xdr:rowOff>4762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</xdr:colOff>
          <xdr:row>18</xdr:row>
          <xdr:rowOff>47625</xdr:rowOff>
        </xdr:from>
        <xdr:to>
          <xdr:col>15</xdr:col>
          <xdr:colOff>276225</xdr:colOff>
          <xdr:row>20</xdr:row>
          <xdr:rowOff>104775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train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</xdr:colOff>
          <xdr:row>20</xdr:row>
          <xdr:rowOff>47625</xdr:rowOff>
        </xdr:from>
        <xdr:to>
          <xdr:col>15</xdr:col>
          <xdr:colOff>276225</xdr:colOff>
          <xdr:row>22</xdr:row>
          <xdr:rowOff>104775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train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</xdr:colOff>
          <xdr:row>13</xdr:row>
          <xdr:rowOff>104775</xdr:rowOff>
        </xdr:from>
        <xdr:to>
          <xdr:col>5</xdr:col>
          <xdr:colOff>428625</xdr:colOff>
          <xdr:row>15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Back-Prop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994AB-B460-481F-8A55-C8511FDA13AA}">
  <sheetPr codeName="Sheet6"/>
  <dimension ref="A1:AD33"/>
  <sheetViews>
    <sheetView workbookViewId="0">
      <pane ySplit="1" topLeftCell="A2" activePane="bottomLeft" state="frozenSplit"/>
      <selection pane="bottomLeft" activeCell="A22" sqref="A22:M26"/>
    </sheetView>
  </sheetViews>
  <sheetFormatPr defaultColWidth="6.7109375" defaultRowHeight="15.75" x14ac:dyDescent="0.25"/>
  <cols>
    <col min="5" max="5" width="7.7109375" bestFit="1" customWidth="1"/>
    <col min="7" max="7" width="7.85546875" bestFit="1" customWidth="1"/>
    <col min="8" max="11" width="8" bestFit="1" customWidth="1"/>
    <col min="12" max="14" width="6.7109375" customWidth="1"/>
    <col min="15" max="15" width="9" bestFit="1" customWidth="1"/>
    <col min="16" max="22" width="6.7109375" customWidth="1"/>
    <col min="23" max="23" width="7.85546875" bestFit="1" customWidth="1"/>
    <col min="24" max="24" width="9.5703125" style="16" bestFit="1" customWidth="1"/>
    <col min="25" max="25" width="8.7109375" style="17" bestFit="1" customWidth="1"/>
    <col min="26" max="26" width="9.28515625" customWidth="1"/>
    <col min="27" max="27" width="9" bestFit="1" customWidth="1"/>
    <col min="30" max="30" width="6.85546875" bestFit="1" customWidth="1"/>
    <col min="31" max="31" width="10.42578125" customWidth="1"/>
  </cols>
  <sheetData>
    <row r="1" spans="1:30" s="3" customFormat="1" ht="32.25" customHeight="1" x14ac:dyDescent="0.25">
      <c r="F1" s="15" t="s">
        <v>21</v>
      </c>
      <c r="N1" s="15" t="s">
        <v>22</v>
      </c>
      <c r="V1" s="15" t="s">
        <v>23</v>
      </c>
      <c r="W1" s="19"/>
      <c r="X1" s="18"/>
      <c r="Y1" s="3" t="s">
        <v>24</v>
      </c>
      <c r="Z1" s="3" t="s">
        <v>25</v>
      </c>
      <c r="AC1" s="3" t="s">
        <v>17</v>
      </c>
      <c r="AD1" s="3" t="s">
        <v>41</v>
      </c>
    </row>
    <row r="2" spans="1:30" ht="15" x14ac:dyDescent="0.25">
      <c r="A2" t="s">
        <v>31</v>
      </c>
      <c r="B2" s="21">
        <f ca="1">RANDBETWEEN(0,1000)</f>
        <v>678</v>
      </c>
      <c r="C2" s="21">
        <f ca="1">B2</f>
        <v>678</v>
      </c>
      <c r="D2" t="s">
        <v>40</v>
      </c>
      <c r="E2" s="22">
        <f ca="1">C2</f>
        <v>678</v>
      </c>
      <c r="F2" s="23">
        <f t="shared" ref="F2:F8" ca="1" si="0">E2/E$3</f>
        <v>1.0066815144766148</v>
      </c>
      <c r="G2" s="27">
        <v>1.1555598093006019</v>
      </c>
      <c r="H2" s="27">
        <v>0.2479664805856141</v>
      </c>
      <c r="I2" s="27">
        <v>1.1080505638845843</v>
      </c>
      <c r="J2" s="27">
        <v>0.26053426511758093</v>
      </c>
      <c r="K2" s="27">
        <v>0.79284515079507323</v>
      </c>
      <c r="L2" s="27">
        <v>0.57269938064963066</v>
      </c>
      <c r="M2" s="27">
        <v>1.1351177108943986</v>
      </c>
      <c r="N2" s="23">
        <f t="shared" ref="N2:N8" ca="1" si="1">sigmoid((G2*F$8)+(H2*F$3)+(I2*F$4)+(J2*F$5)+(K2*F$6)+(L2*F$7)+(M2*F$2)+$AC$2)</f>
        <v>0.9876240381391822</v>
      </c>
      <c r="O2" s="27">
        <v>0.61357561002014982</v>
      </c>
      <c r="P2" s="27">
        <v>1.3670599476460539</v>
      </c>
      <c r="Q2" s="27">
        <v>1.403962369343879</v>
      </c>
      <c r="R2" s="27">
        <v>0.72311496360816496</v>
      </c>
      <c r="S2" s="27">
        <v>1.2396934177498631</v>
      </c>
      <c r="T2" s="27">
        <v>1.3513091194771407</v>
      </c>
      <c r="U2" s="27">
        <v>0.79069906960752101</v>
      </c>
      <c r="V2" s="23">
        <f t="shared" ref="V2:V8" ca="1" si="2">sigmoid((O2*N$2)+(P2*N$3)+(Q2*N$4)+(R2*N$5)+(S2*N$6)+(T2*N$7)+(U2*N$8)+$AC$2)</f>
        <v>0.99893645241731399</v>
      </c>
      <c r="W2" s="24">
        <f ca="1">V2*($E$3+(10*$B$3))</f>
        <v>662.79433617888787</v>
      </c>
      <c r="X2" s="22">
        <f ca="1">C11+B3</f>
        <v>668</v>
      </c>
      <c r="Y2" s="20">
        <f ca="1">(C11+B3)/E$3</f>
        <v>0.99183370452858199</v>
      </c>
      <c r="Z2" s="20">
        <f ca="1">Y2-V2</f>
        <v>-7.1027478887319973E-3</v>
      </c>
      <c r="AA2" s="21"/>
      <c r="AB2" s="21"/>
      <c r="AC2" s="21">
        <v>0.1</v>
      </c>
      <c r="AD2" s="21">
        <v>0.1</v>
      </c>
    </row>
    <row r="3" spans="1:30" ht="15" x14ac:dyDescent="0.25">
      <c r="A3" t="s">
        <v>32</v>
      </c>
      <c r="B3" s="21">
        <f ca="1">RANDBETWEEN(-10,10)</f>
        <v>-1</v>
      </c>
      <c r="C3" s="21">
        <f ca="1">C2+$B$3</f>
        <v>677</v>
      </c>
      <c r="D3" t="s">
        <v>34</v>
      </c>
      <c r="E3" s="22">
        <f ca="1">AVERAGE(C2:C11)</f>
        <v>673.5</v>
      </c>
      <c r="F3" s="23">
        <f t="shared" ca="1" si="0"/>
        <v>1</v>
      </c>
      <c r="G3" s="27">
        <v>0.897102163044315</v>
      </c>
      <c r="H3" s="27">
        <v>0.54863528011606899</v>
      </c>
      <c r="I3" s="27">
        <v>0.95106220520378359</v>
      </c>
      <c r="J3" s="27">
        <v>1.0712102452780696</v>
      </c>
      <c r="K3" s="27">
        <v>0.94955722489462735</v>
      </c>
      <c r="L3" s="27">
        <v>0.76093277307008589</v>
      </c>
      <c r="M3" s="27">
        <v>1.0541237971726694</v>
      </c>
      <c r="N3" s="23">
        <f t="shared" ca="1" si="1"/>
        <v>0.99480322245456554</v>
      </c>
      <c r="O3" s="27">
        <v>1.4863732317558784</v>
      </c>
      <c r="P3" s="27">
        <v>0.7877926321858405</v>
      </c>
      <c r="Q3" s="27">
        <v>0.92032399582311852</v>
      </c>
      <c r="R3" s="27">
        <v>1.2980977573586272</v>
      </c>
      <c r="S3" s="27">
        <v>1.0202461616113432</v>
      </c>
      <c r="T3" s="27">
        <v>1.1566829645340055</v>
      </c>
      <c r="U3" s="27">
        <v>1.2150420090525194</v>
      </c>
      <c r="V3" s="23">
        <f t="shared" ca="1" si="2"/>
        <v>0.99927548215484763</v>
      </c>
      <c r="W3" s="24">
        <f t="shared" ref="W3:W8" ca="1" si="3">V3*($E$3+(10*$B$3))</f>
        <v>663.01928240974144</v>
      </c>
      <c r="X3" s="22">
        <f ca="1">X2+$B$3</f>
        <v>667</v>
      </c>
      <c r="Y3" s="20">
        <f ca="1">X3/$E$3</f>
        <v>0.99034892353377879</v>
      </c>
      <c r="Z3" s="20">
        <f ca="1">Y3-V3</f>
        <v>-8.9265586210688364E-3</v>
      </c>
      <c r="AA3" s="21"/>
      <c r="AB3" s="21"/>
      <c r="AC3" s="21"/>
      <c r="AD3" s="21"/>
    </row>
    <row r="4" spans="1:30" ht="15" x14ac:dyDescent="0.25">
      <c r="B4" s="21"/>
      <c r="C4" s="21">
        <f ca="1">C3+$B$3</f>
        <v>676</v>
      </c>
      <c r="D4" t="s">
        <v>35</v>
      </c>
      <c r="E4" s="22">
        <f ca="1">(C2*$B23)+(C3*$C23)+(C4*$D23)+(C5*$E23)+(C6*$F23)+(C7*$G23)+(C8*$H23)+(C9*$I23)+(C10*$J23)+(C11*$K23)</f>
        <v>669.4</v>
      </c>
      <c r="F4" s="23">
        <f t="shared" ca="1" si="0"/>
        <v>0.99391239792130659</v>
      </c>
      <c r="G4" s="27">
        <v>0.5788004171954233</v>
      </c>
      <c r="H4" s="27">
        <v>0.66153745090587446</v>
      </c>
      <c r="I4" s="27">
        <v>0.72612527329724852</v>
      </c>
      <c r="J4" s="27">
        <v>1.4663645709405897</v>
      </c>
      <c r="K4" s="27">
        <v>0.82586675674177634</v>
      </c>
      <c r="L4" s="27">
        <v>0.66601075979944446</v>
      </c>
      <c r="M4" s="27">
        <v>0.5279384543032235</v>
      </c>
      <c r="N4" s="23">
        <f t="shared" ca="1" si="1"/>
        <v>0.98924155650409706</v>
      </c>
      <c r="O4" s="27">
        <v>1.2313010274868841</v>
      </c>
      <c r="P4" s="27">
        <v>0.94657366783778041</v>
      </c>
      <c r="Q4" s="27">
        <v>0.96806746891029427</v>
      </c>
      <c r="R4" s="27">
        <v>1.1546740398061766</v>
      </c>
      <c r="S4" s="27">
        <v>1.4161905723649522</v>
      </c>
      <c r="T4" s="27">
        <v>1.2534392959545464</v>
      </c>
      <c r="U4" s="27">
        <v>1.1722540718836152</v>
      </c>
      <c r="V4" s="23">
        <f t="shared" ca="1" si="2"/>
        <v>0.99944126828137414</v>
      </c>
      <c r="W4" s="24">
        <f t="shared" ca="1" si="3"/>
        <v>663.12928150469179</v>
      </c>
      <c r="X4" s="22">
        <f t="shared" ref="X4:X8" ca="1" si="4">X3+$B$3</f>
        <v>666</v>
      </c>
      <c r="Y4" s="20">
        <f ca="1">X4/$E$3</f>
        <v>0.98886414253897548</v>
      </c>
      <c r="Z4" s="20">
        <f ca="1">Y4-V4</f>
        <v>-1.0577125742398663E-2</v>
      </c>
      <c r="AA4" s="21"/>
      <c r="AB4" s="21"/>
      <c r="AC4" s="21"/>
      <c r="AD4" s="21"/>
    </row>
    <row r="5" spans="1:30" ht="15" x14ac:dyDescent="0.25">
      <c r="B5" s="21"/>
      <c r="C5" s="21">
        <f t="shared" ref="C5:C11" ca="1" si="5">C4+$B$3</f>
        <v>675</v>
      </c>
      <c r="D5" t="s">
        <v>36</v>
      </c>
      <c r="E5" s="22">
        <f t="shared" ref="E5:E7" ca="1" si="6">(C3*$B24)+(C4*$C24)+(C5*$D24)+(C6*$E24)+(C7*$F24)+(C8*$G24)+(C9*$H24)+(C10*$I24)+(C11*$J24)+(C12*$K24)</f>
        <v>676.6</v>
      </c>
      <c r="F5" s="23">
        <f t="shared" ca="1" si="0"/>
        <v>1.0046028210838902</v>
      </c>
      <c r="G5" s="27">
        <v>0.73819253468298751</v>
      </c>
      <c r="H5" s="27">
        <v>1.2467771202073805</v>
      </c>
      <c r="I5" s="27">
        <v>0.54342432386095918</v>
      </c>
      <c r="J5" s="27">
        <v>0.62525225989313349</v>
      </c>
      <c r="K5" s="27">
        <v>0.51269318937073172</v>
      </c>
      <c r="L5" s="27">
        <v>0.48689216793072199</v>
      </c>
      <c r="M5" s="27">
        <v>0.75882213992818148</v>
      </c>
      <c r="N5" s="23">
        <f t="shared" ca="1" si="1"/>
        <v>0.98313615307969771</v>
      </c>
      <c r="O5" s="27">
        <v>1.6126315898138324</v>
      </c>
      <c r="P5" s="27">
        <v>1.4898665802004776</v>
      </c>
      <c r="Q5" s="27">
        <v>0.99681786885233514</v>
      </c>
      <c r="R5" s="27">
        <v>1.2149755736110275</v>
      </c>
      <c r="S5" s="27">
        <v>1.4317934849675833</v>
      </c>
      <c r="T5" s="27">
        <v>1.182846444716513</v>
      </c>
      <c r="U5" s="27">
        <v>0.85680954242332663</v>
      </c>
      <c r="V5" s="23">
        <f t="shared" ca="1" si="2"/>
        <v>0.99970373180756611</v>
      </c>
      <c r="W5" s="24">
        <f t="shared" ca="1" si="3"/>
        <v>663.30342605432008</v>
      </c>
      <c r="X5" s="22">
        <f t="shared" ca="1" si="4"/>
        <v>665</v>
      </c>
      <c r="Y5" s="20">
        <f t="shared" ref="Y5:Y8" ca="1" si="7">X5/$E$3</f>
        <v>0.98737936154417227</v>
      </c>
      <c r="Z5" s="20">
        <f t="shared" ref="Z5:Z8" ca="1" si="8">Y5-V5</f>
        <v>-1.2324370263393836E-2</v>
      </c>
      <c r="AA5" s="21"/>
      <c r="AB5" s="21"/>
      <c r="AC5" s="21"/>
      <c r="AD5" s="21"/>
    </row>
    <row r="6" spans="1:30" ht="15" x14ac:dyDescent="0.25">
      <c r="B6" s="21"/>
      <c r="C6" s="21">
        <f t="shared" ca="1" si="5"/>
        <v>674</v>
      </c>
      <c r="D6" t="s">
        <v>37</v>
      </c>
      <c r="E6" s="22">
        <f t="shared" ca="1" si="6"/>
        <v>671.5</v>
      </c>
      <c r="F6" s="23">
        <f t="shared" ca="1" si="0"/>
        <v>0.99703043801039348</v>
      </c>
      <c r="G6" s="27">
        <v>1.1861270221417715</v>
      </c>
      <c r="H6" s="27">
        <v>0.91956088189120155</v>
      </c>
      <c r="I6" s="27">
        <v>0.93234210696971132</v>
      </c>
      <c r="J6" s="27">
        <v>0.55514898072842889</v>
      </c>
      <c r="K6" s="27">
        <v>0.85716677572077704</v>
      </c>
      <c r="L6" s="27">
        <v>1.2979561087699496</v>
      </c>
      <c r="M6" s="27">
        <v>0.69887335198061962</v>
      </c>
      <c r="N6" s="23">
        <f t="shared" ca="1" si="1"/>
        <v>0.99448422373018608</v>
      </c>
      <c r="O6" s="27">
        <v>0.83123127906952665</v>
      </c>
      <c r="P6" s="27">
        <v>1.6729097354991518</v>
      </c>
      <c r="Q6" s="27">
        <v>1.3340840897925952</v>
      </c>
      <c r="R6" s="27">
        <v>1.7163357451822485</v>
      </c>
      <c r="S6" s="27">
        <v>1.4155322058973885</v>
      </c>
      <c r="T6" s="27">
        <v>1.2898617111255841</v>
      </c>
      <c r="U6" s="27">
        <v>1.2703798737238643</v>
      </c>
      <c r="V6" s="23">
        <f t="shared" ca="1" si="2"/>
        <v>0.99985877344847829</v>
      </c>
      <c r="W6" s="24">
        <f t="shared" ca="1" si="3"/>
        <v>663.40629618306536</v>
      </c>
      <c r="X6" s="22">
        <f t="shared" ca="1" si="4"/>
        <v>664</v>
      </c>
      <c r="Y6" s="20">
        <f t="shared" ca="1" si="7"/>
        <v>0.98589458054936896</v>
      </c>
      <c r="Z6" s="20">
        <f t="shared" ca="1" si="8"/>
        <v>-1.3964192899109329E-2</v>
      </c>
      <c r="AA6" s="21"/>
      <c r="AB6" s="21"/>
      <c r="AC6" s="21"/>
      <c r="AD6" s="21"/>
    </row>
    <row r="7" spans="1:30" ht="15" x14ac:dyDescent="0.25">
      <c r="B7" s="21"/>
      <c r="C7" s="21">
        <f t="shared" ca="1" si="5"/>
        <v>673</v>
      </c>
      <c r="D7" t="s">
        <v>38</v>
      </c>
      <c r="E7" s="22">
        <f t="shared" ca="1" si="6"/>
        <v>337.4</v>
      </c>
      <c r="F7" s="23">
        <f t="shared" ca="1" si="0"/>
        <v>0.50096510764662205</v>
      </c>
      <c r="G7" s="27">
        <v>1.1933544915033014</v>
      </c>
      <c r="H7" s="27">
        <v>1.0004654044389305</v>
      </c>
      <c r="I7" s="27">
        <v>1.0250363026584912</v>
      </c>
      <c r="J7" s="27">
        <v>0.90277404785924242</v>
      </c>
      <c r="K7" s="27">
        <v>1.4833531272819247</v>
      </c>
      <c r="L7" s="27">
        <v>0.82910834580719606</v>
      </c>
      <c r="M7" s="27">
        <v>1.4684716343855331</v>
      </c>
      <c r="N7" s="23">
        <f t="shared" ca="1" si="1"/>
        <v>0.99898363127485112</v>
      </c>
      <c r="O7" s="27">
        <v>1.1086082644251594</v>
      </c>
      <c r="P7" s="27">
        <v>2.0730600426538013</v>
      </c>
      <c r="Q7" s="27">
        <v>1.5086139961376706</v>
      </c>
      <c r="R7" s="27">
        <v>1.2399581360069423</v>
      </c>
      <c r="S7" s="27">
        <v>1.2298383506124471</v>
      </c>
      <c r="T7" s="27">
        <v>1.177152356842345</v>
      </c>
      <c r="U7" s="27">
        <v>1.5657242043247259</v>
      </c>
      <c r="V7" s="23">
        <f t="shared" ca="1" si="2"/>
        <v>0.99990286023194064</v>
      </c>
      <c r="W7" s="24">
        <f t="shared" ca="1" si="3"/>
        <v>663.4355477638926</v>
      </c>
      <c r="X7" s="22">
        <f t="shared" ca="1" si="4"/>
        <v>663</v>
      </c>
      <c r="Y7" s="20">
        <f t="shared" ca="1" si="7"/>
        <v>0.98440979955456576</v>
      </c>
      <c r="Z7" s="20">
        <f t="shared" ca="1" si="8"/>
        <v>-1.5493060677374881E-2</v>
      </c>
      <c r="AA7" s="21"/>
      <c r="AB7" s="21"/>
      <c r="AC7" s="21"/>
      <c r="AD7" s="21"/>
    </row>
    <row r="8" spans="1:30" ht="15" x14ac:dyDescent="0.25">
      <c r="B8" s="21"/>
      <c r="C8" s="21">
        <f t="shared" ca="1" si="5"/>
        <v>672</v>
      </c>
      <c r="D8" t="s">
        <v>33</v>
      </c>
      <c r="E8" s="22">
        <f ca="1">C11</f>
        <v>669</v>
      </c>
      <c r="F8" s="23">
        <f t="shared" ca="1" si="0"/>
        <v>0.99331848552338531</v>
      </c>
      <c r="G8" s="27">
        <v>1.1362622400105733</v>
      </c>
      <c r="H8" s="27">
        <v>1.3545561513708109</v>
      </c>
      <c r="I8" s="27">
        <v>1.4625327399732746</v>
      </c>
      <c r="J8" s="27">
        <v>0.92693417623420904</v>
      </c>
      <c r="K8" s="27">
        <v>1.2931789995889755</v>
      </c>
      <c r="L8" s="27">
        <v>0.64030120095275411</v>
      </c>
      <c r="M8" s="27">
        <v>1.5846802653762262</v>
      </c>
      <c r="N8" s="23">
        <f t="shared" ca="1" si="1"/>
        <v>0.99943606247942418</v>
      </c>
      <c r="O8" s="27">
        <v>1.363094449147574</v>
      </c>
      <c r="P8" s="27">
        <v>1.4019066370389868</v>
      </c>
      <c r="Q8" s="27">
        <v>1.5524548619390646</v>
      </c>
      <c r="R8" s="27">
        <v>1.1256655557290491</v>
      </c>
      <c r="S8" s="27">
        <v>1.8627490945902068</v>
      </c>
      <c r="T8" s="27">
        <v>1.9578463736634553</v>
      </c>
      <c r="U8" s="27">
        <v>1.2470734950994484</v>
      </c>
      <c r="V8" s="23">
        <f t="shared" ca="1" si="2"/>
        <v>0.99994698109831714</v>
      </c>
      <c r="W8" s="24">
        <f t="shared" ca="1" si="3"/>
        <v>663.46482195873341</v>
      </c>
      <c r="X8" s="22">
        <f t="shared" ca="1" si="4"/>
        <v>662</v>
      </c>
      <c r="Y8" s="20">
        <f t="shared" ca="1" si="7"/>
        <v>0.98292501855976244</v>
      </c>
      <c r="Z8" s="20">
        <f t="shared" ca="1" si="8"/>
        <v>-1.7021962538554702E-2</v>
      </c>
      <c r="AA8" s="21"/>
      <c r="AB8" s="21"/>
      <c r="AC8" s="21"/>
      <c r="AD8" s="21"/>
    </row>
    <row r="9" spans="1:30" ht="15" x14ac:dyDescent="0.25">
      <c r="B9" s="21"/>
      <c r="C9" s="21">
        <f t="shared" ca="1" si="5"/>
        <v>671</v>
      </c>
      <c r="G9" s="27"/>
      <c r="H9" s="27"/>
      <c r="I9" s="27"/>
      <c r="J9" s="27"/>
      <c r="K9" s="27"/>
      <c r="L9" s="27"/>
      <c r="M9" s="27"/>
      <c r="N9" s="20"/>
      <c r="O9" s="27"/>
      <c r="P9" s="27"/>
      <c r="Q9" s="27"/>
      <c r="R9" s="27"/>
      <c r="S9" s="27"/>
      <c r="T9" s="27"/>
      <c r="U9" s="27"/>
      <c r="V9" s="20"/>
      <c r="W9" s="25"/>
      <c r="X9" s="25"/>
      <c r="Y9" s="25"/>
      <c r="Z9" s="26"/>
      <c r="AA9" s="21"/>
      <c r="AB9" s="21"/>
      <c r="AC9" s="21"/>
    </row>
    <row r="10" spans="1:30" ht="15" x14ac:dyDescent="0.25">
      <c r="B10" s="21"/>
      <c r="C10" s="21">
        <f t="shared" ca="1" si="5"/>
        <v>670</v>
      </c>
      <c r="E10" s="21"/>
      <c r="F10" s="20"/>
      <c r="G10" s="27"/>
      <c r="H10" s="27"/>
      <c r="I10" s="27"/>
      <c r="J10" s="27"/>
      <c r="K10" s="27"/>
      <c r="L10" s="27"/>
      <c r="M10" s="27"/>
      <c r="N10" s="20"/>
      <c r="O10" s="27"/>
      <c r="P10" s="27"/>
      <c r="Q10" s="27"/>
      <c r="R10" s="27"/>
      <c r="S10" s="27"/>
      <c r="T10" s="27"/>
      <c r="U10" s="27"/>
      <c r="V10" s="20"/>
      <c r="W10" s="25"/>
      <c r="X10" s="25"/>
      <c r="Y10" s="25"/>
      <c r="Z10" s="26"/>
      <c r="AA10" s="21"/>
      <c r="AB10" s="21"/>
      <c r="AC10" s="21"/>
    </row>
    <row r="11" spans="1:30" ht="15" x14ac:dyDescent="0.25">
      <c r="B11" s="21"/>
      <c r="C11" s="21">
        <f t="shared" ca="1" si="5"/>
        <v>669</v>
      </c>
      <c r="E11" s="21"/>
      <c r="F11" s="20"/>
      <c r="G11" s="27"/>
      <c r="H11" s="27"/>
      <c r="I11" s="27"/>
      <c r="J11" s="27"/>
      <c r="K11" s="27"/>
      <c r="L11" s="27"/>
      <c r="M11" s="27"/>
      <c r="N11" s="20"/>
      <c r="O11" s="27"/>
      <c r="P11" s="27"/>
      <c r="Q11" s="27"/>
      <c r="R11" s="27"/>
      <c r="S11" s="27"/>
      <c r="T11" s="27"/>
      <c r="U11" s="27"/>
      <c r="V11" s="20"/>
      <c r="W11" s="25"/>
      <c r="X11" s="25"/>
      <c r="Y11" s="25"/>
      <c r="Z11" s="26"/>
      <c r="AA11" s="21"/>
      <c r="AB11" s="21"/>
      <c r="AC11" s="21"/>
    </row>
    <row r="12" spans="1:30" x14ac:dyDescent="0.25">
      <c r="B12" s="21"/>
      <c r="C12" s="21"/>
      <c r="E12" s="21"/>
      <c r="F12" s="20"/>
      <c r="G12" s="27">
        <f t="shared" ref="G12:M18" ca="1" si="9">G2+$Z2*$AD$2</f>
        <v>1.1548495345117287</v>
      </c>
      <c r="H12" s="27">
        <f t="shared" ca="1" si="9"/>
        <v>0.2472562057967409</v>
      </c>
      <c r="I12" s="27">
        <f t="shared" ca="1" si="9"/>
        <v>1.1073402890957111</v>
      </c>
      <c r="J12" s="27">
        <f t="shared" ca="1" si="9"/>
        <v>0.25982399032870773</v>
      </c>
      <c r="K12" s="27">
        <f t="shared" ca="1" si="9"/>
        <v>0.79213487600620003</v>
      </c>
      <c r="L12" s="27">
        <f t="shared" ca="1" si="9"/>
        <v>0.57198910586075746</v>
      </c>
      <c r="M12" s="27">
        <f t="shared" ca="1" si="9"/>
        <v>1.1344074361055254</v>
      </c>
      <c r="N12" s="20"/>
      <c r="O12" s="27">
        <f t="shared" ref="O12:U18" ca="1" si="10">O2+$Z2*$AD$2</f>
        <v>0.61286533523127662</v>
      </c>
      <c r="P12" s="27">
        <f t="shared" ca="1" si="10"/>
        <v>1.3663496728571807</v>
      </c>
      <c r="Q12" s="27">
        <f t="shared" ca="1" si="10"/>
        <v>1.4032520945550058</v>
      </c>
      <c r="R12" s="27">
        <f t="shared" ca="1" si="10"/>
        <v>0.72240468881929176</v>
      </c>
      <c r="S12" s="27">
        <f t="shared" ca="1" si="10"/>
        <v>1.2389831429609899</v>
      </c>
      <c r="T12" s="27">
        <f t="shared" ca="1" si="10"/>
        <v>1.3505988446882675</v>
      </c>
      <c r="U12" s="27">
        <f t="shared" ca="1" si="10"/>
        <v>0.78998879481864781</v>
      </c>
      <c r="V12" s="20"/>
      <c r="W12" s="16" t="s">
        <v>42</v>
      </c>
      <c r="X12" s="20"/>
      <c r="Y12" s="20"/>
      <c r="Z12" s="21"/>
      <c r="AA12" s="21"/>
      <c r="AB12" s="21"/>
      <c r="AC12" s="21"/>
    </row>
    <row r="13" spans="1:30" x14ac:dyDescent="0.25">
      <c r="B13" s="21"/>
      <c r="C13" s="21"/>
      <c r="E13" s="21"/>
      <c r="F13" s="20"/>
      <c r="G13" s="27">
        <f t="shared" ca="1" si="9"/>
        <v>0.89620950718220815</v>
      </c>
      <c r="H13" s="27">
        <f t="shared" ca="1" si="9"/>
        <v>0.54774262425396214</v>
      </c>
      <c r="I13" s="27">
        <f t="shared" ca="1" si="9"/>
        <v>0.95016954934167674</v>
      </c>
      <c r="J13" s="27">
        <f t="shared" ca="1" si="9"/>
        <v>1.0703175894159627</v>
      </c>
      <c r="K13" s="27">
        <f t="shared" ca="1" si="9"/>
        <v>0.9486645690325205</v>
      </c>
      <c r="L13" s="27">
        <f t="shared" ca="1" si="9"/>
        <v>0.76004011720797904</v>
      </c>
      <c r="M13" s="27">
        <f t="shared" ca="1" si="9"/>
        <v>1.0532311413105624</v>
      </c>
      <c r="N13" s="20"/>
      <c r="O13" s="27">
        <f t="shared" ca="1" si="10"/>
        <v>1.4854805758937715</v>
      </c>
      <c r="P13" s="27">
        <f t="shared" ca="1" si="10"/>
        <v>0.78689997632373365</v>
      </c>
      <c r="Q13" s="27">
        <f t="shared" ca="1" si="10"/>
        <v>0.91943133996101167</v>
      </c>
      <c r="R13" s="27">
        <f t="shared" ca="1" si="10"/>
        <v>1.2972051014965202</v>
      </c>
      <c r="S13" s="27">
        <f t="shared" ca="1" si="10"/>
        <v>1.0193535057492362</v>
      </c>
      <c r="T13" s="27">
        <f t="shared" ca="1" si="10"/>
        <v>1.1557903086718986</v>
      </c>
      <c r="U13" s="27">
        <f t="shared" ca="1" si="10"/>
        <v>1.2141493531904124</v>
      </c>
      <c r="V13" s="20"/>
      <c r="W13" s="22">
        <v>1</v>
      </c>
      <c r="X13" s="29">
        <f t="shared" ref="X13:X22" ca="1" si="11">C2</f>
        <v>678</v>
      </c>
      <c r="Y13" s="20"/>
      <c r="Z13" s="21"/>
      <c r="AA13" s="21"/>
      <c r="AB13" s="21"/>
      <c r="AC13" s="21"/>
    </row>
    <row r="14" spans="1:30" x14ac:dyDescent="0.25">
      <c r="B14" s="21"/>
      <c r="C14" s="21"/>
      <c r="E14" s="21"/>
      <c r="F14" s="20"/>
      <c r="G14" s="27">
        <f t="shared" ca="1" si="9"/>
        <v>0.57774270462118338</v>
      </c>
      <c r="H14" s="27">
        <f t="shared" ca="1" si="9"/>
        <v>0.66047973833163454</v>
      </c>
      <c r="I14" s="27">
        <f t="shared" ca="1" si="9"/>
        <v>0.7250675607230086</v>
      </c>
      <c r="J14" s="27">
        <f t="shared" ca="1" si="9"/>
        <v>1.4653068583663498</v>
      </c>
      <c r="K14" s="27">
        <f t="shared" ca="1" si="9"/>
        <v>0.82480904416753642</v>
      </c>
      <c r="L14" s="27">
        <f t="shared" ca="1" si="9"/>
        <v>0.66495304722520454</v>
      </c>
      <c r="M14" s="27">
        <f t="shared" ca="1" si="9"/>
        <v>0.52688074172898358</v>
      </c>
      <c r="N14" s="20"/>
      <c r="O14" s="27">
        <f t="shared" ca="1" si="10"/>
        <v>1.2302433149126442</v>
      </c>
      <c r="P14" s="27">
        <f t="shared" ca="1" si="10"/>
        <v>0.9455159552635406</v>
      </c>
      <c r="Q14" s="27">
        <f t="shared" ca="1" si="10"/>
        <v>0.96700975633605446</v>
      </c>
      <c r="R14" s="27">
        <f t="shared" ca="1" si="10"/>
        <v>1.1536163272319366</v>
      </c>
      <c r="S14" s="27">
        <f t="shared" ca="1" si="10"/>
        <v>1.4151328597907122</v>
      </c>
      <c r="T14" s="27">
        <f t="shared" ca="1" si="10"/>
        <v>1.2523815833803065</v>
      </c>
      <c r="U14" s="27">
        <f t="shared" ca="1" si="10"/>
        <v>1.1711963593093753</v>
      </c>
      <c r="V14" s="20"/>
      <c r="W14" s="22">
        <v>2</v>
      </c>
      <c r="X14" s="29">
        <f t="shared" ca="1" si="11"/>
        <v>677</v>
      </c>
      <c r="Y14" s="20"/>
      <c r="Z14" s="21"/>
      <c r="AA14" s="21"/>
      <c r="AB14" s="21"/>
      <c r="AC14" s="21"/>
    </row>
    <row r="15" spans="1:30" x14ac:dyDescent="0.25">
      <c r="B15" s="21"/>
      <c r="C15" s="21"/>
      <c r="E15" s="21"/>
      <c r="F15" s="20"/>
      <c r="G15" s="27">
        <f t="shared" ca="1" si="9"/>
        <v>0.73696009765664816</v>
      </c>
      <c r="H15" s="27">
        <f t="shared" ca="1" si="9"/>
        <v>1.2455446831810411</v>
      </c>
      <c r="I15" s="27">
        <f t="shared" ca="1" si="9"/>
        <v>0.54219188683461983</v>
      </c>
      <c r="J15" s="27">
        <f t="shared" ca="1" si="9"/>
        <v>0.62401982286679414</v>
      </c>
      <c r="K15" s="27">
        <f t="shared" ca="1" si="9"/>
        <v>0.51146075234439237</v>
      </c>
      <c r="L15" s="27">
        <f t="shared" ca="1" si="9"/>
        <v>0.48565973090438258</v>
      </c>
      <c r="M15" s="27">
        <f t="shared" ca="1" si="9"/>
        <v>0.75758970290184213</v>
      </c>
      <c r="N15" s="20"/>
      <c r="O15" s="27">
        <f t="shared" ca="1" si="10"/>
        <v>1.6113991527874929</v>
      </c>
      <c r="P15" s="27">
        <f t="shared" ca="1" si="10"/>
        <v>1.4886341431741381</v>
      </c>
      <c r="Q15" s="27">
        <f t="shared" ca="1" si="10"/>
        <v>0.99558543182599579</v>
      </c>
      <c r="R15" s="27">
        <f t="shared" ca="1" si="10"/>
        <v>1.213743136584688</v>
      </c>
      <c r="S15" s="27">
        <f t="shared" ca="1" si="10"/>
        <v>1.4305610479412438</v>
      </c>
      <c r="T15" s="27">
        <f t="shared" ca="1" si="10"/>
        <v>1.1816140076901736</v>
      </c>
      <c r="U15" s="27">
        <f t="shared" ca="1" si="10"/>
        <v>0.85557710539698728</v>
      </c>
      <c r="V15" s="20"/>
      <c r="W15" s="22">
        <v>3</v>
      </c>
      <c r="X15" s="29">
        <f t="shared" ca="1" si="11"/>
        <v>676</v>
      </c>
      <c r="Y15" s="20"/>
      <c r="Z15" s="21"/>
      <c r="AA15" s="21"/>
      <c r="AB15" s="21"/>
      <c r="AC15" s="21"/>
    </row>
    <row r="16" spans="1:30" x14ac:dyDescent="0.25">
      <c r="B16" s="21"/>
      <c r="C16" s="21"/>
      <c r="E16" s="21"/>
      <c r="F16" s="20"/>
      <c r="G16" s="27">
        <f t="shared" ca="1" si="9"/>
        <v>1.1847306028518605</v>
      </c>
      <c r="H16" s="27">
        <f t="shared" ca="1" si="9"/>
        <v>0.91816446260129059</v>
      </c>
      <c r="I16" s="27">
        <f t="shared" ca="1" si="9"/>
        <v>0.93094568767980035</v>
      </c>
      <c r="J16" s="27">
        <f t="shared" ca="1" si="9"/>
        <v>0.55375256143851792</v>
      </c>
      <c r="K16" s="27">
        <f t="shared" ca="1" si="9"/>
        <v>0.85577035643086607</v>
      </c>
      <c r="L16" s="27">
        <f t="shared" ca="1" si="9"/>
        <v>1.2965596894800386</v>
      </c>
      <c r="M16" s="27">
        <f t="shared" ca="1" si="9"/>
        <v>0.69747693269070865</v>
      </c>
      <c r="N16" s="20"/>
      <c r="O16" s="27">
        <f t="shared" ca="1" si="10"/>
        <v>0.82983485977961569</v>
      </c>
      <c r="P16" s="27">
        <f t="shared" ca="1" si="10"/>
        <v>1.6715133162092408</v>
      </c>
      <c r="Q16" s="27">
        <f t="shared" ca="1" si="10"/>
        <v>1.3326876705026842</v>
      </c>
      <c r="R16" s="27">
        <f t="shared" ca="1" si="10"/>
        <v>1.7149393258923376</v>
      </c>
      <c r="S16" s="27">
        <f t="shared" ca="1" si="10"/>
        <v>1.4141357866074775</v>
      </c>
      <c r="T16" s="27">
        <f t="shared" ca="1" si="10"/>
        <v>1.2884652918356732</v>
      </c>
      <c r="U16" s="27">
        <f t="shared" ca="1" si="10"/>
        <v>1.2689834544339533</v>
      </c>
      <c r="V16" s="20"/>
      <c r="W16" s="22">
        <v>4</v>
      </c>
      <c r="X16" s="29">
        <f t="shared" ca="1" si="11"/>
        <v>675</v>
      </c>
      <c r="Y16" s="20"/>
      <c r="Z16" s="21"/>
      <c r="AA16" s="21"/>
      <c r="AB16" s="21"/>
      <c r="AC16" s="21"/>
    </row>
    <row r="17" spans="1:29" x14ac:dyDescent="0.25">
      <c r="B17" s="21"/>
      <c r="C17" s="21"/>
      <c r="E17" s="21"/>
      <c r="F17" s="20"/>
      <c r="G17" s="27">
        <f t="shared" ca="1" si="9"/>
        <v>1.191805185435564</v>
      </c>
      <c r="H17" s="27">
        <f t="shared" ca="1" si="9"/>
        <v>0.998916098371193</v>
      </c>
      <c r="I17" s="27">
        <f t="shared" ca="1" si="9"/>
        <v>1.0234869965907538</v>
      </c>
      <c r="J17" s="27">
        <f t="shared" ca="1" si="9"/>
        <v>0.90122474179150491</v>
      </c>
      <c r="K17" s="27">
        <f t="shared" ca="1" si="9"/>
        <v>1.4818038212141873</v>
      </c>
      <c r="L17" s="27">
        <f t="shared" ca="1" si="9"/>
        <v>0.82755903973945855</v>
      </c>
      <c r="M17" s="27">
        <f t="shared" ca="1" si="9"/>
        <v>1.4669223283177957</v>
      </c>
      <c r="N17" s="20"/>
      <c r="O17" s="27">
        <f t="shared" ca="1" si="10"/>
        <v>1.107058958357422</v>
      </c>
      <c r="P17" s="27">
        <f t="shared" ca="1" si="10"/>
        <v>2.0715107365860637</v>
      </c>
      <c r="Q17" s="27">
        <f t="shared" ca="1" si="10"/>
        <v>1.5070646900699332</v>
      </c>
      <c r="R17" s="27">
        <f t="shared" ca="1" si="10"/>
        <v>1.2384088299392049</v>
      </c>
      <c r="S17" s="27">
        <f t="shared" ca="1" si="10"/>
        <v>1.2282890445447097</v>
      </c>
      <c r="T17" s="27">
        <f t="shared" ca="1" si="10"/>
        <v>1.1756030507746076</v>
      </c>
      <c r="U17" s="27">
        <f t="shared" ca="1" si="10"/>
        <v>1.5641748982569885</v>
      </c>
      <c r="V17" s="20"/>
      <c r="W17" s="22">
        <v>5</v>
      </c>
      <c r="X17" s="29">
        <f t="shared" ca="1" si="11"/>
        <v>674</v>
      </c>
      <c r="Y17" s="20"/>
      <c r="Z17" s="21"/>
      <c r="AA17" s="21"/>
      <c r="AB17" s="21"/>
      <c r="AC17" s="21"/>
    </row>
    <row r="18" spans="1:29" x14ac:dyDescent="0.25">
      <c r="B18" s="21"/>
      <c r="C18" s="21"/>
      <c r="E18" s="21"/>
      <c r="F18" s="20"/>
      <c r="G18" s="27">
        <f t="shared" ca="1" si="9"/>
        <v>1.1345600437567178</v>
      </c>
      <c r="H18" s="27">
        <f t="shared" ca="1" si="9"/>
        <v>1.3528539551169554</v>
      </c>
      <c r="I18" s="27">
        <f t="shared" ca="1" si="9"/>
        <v>1.4608305437194191</v>
      </c>
      <c r="J18" s="27">
        <f t="shared" ca="1" si="9"/>
        <v>0.92523197998035356</v>
      </c>
      <c r="K18" s="27">
        <f t="shared" ca="1" si="9"/>
        <v>1.29147680333512</v>
      </c>
      <c r="L18" s="27">
        <f t="shared" ca="1" si="9"/>
        <v>0.63859900469889863</v>
      </c>
      <c r="M18" s="27">
        <f t="shared" ca="1" si="9"/>
        <v>1.5829780691223707</v>
      </c>
      <c r="N18" s="20"/>
      <c r="O18" s="27">
        <f t="shared" ca="1" si="10"/>
        <v>1.3613922528937186</v>
      </c>
      <c r="P18" s="27">
        <f t="shared" ca="1" si="10"/>
        <v>1.4002044407851313</v>
      </c>
      <c r="Q18" s="27">
        <f t="shared" ca="1" si="10"/>
        <v>1.5507526656852091</v>
      </c>
      <c r="R18" s="27">
        <f t="shared" ca="1" si="10"/>
        <v>1.1239633594751937</v>
      </c>
      <c r="S18" s="27">
        <f t="shared" ca="1" si="10"/>
        <v>1.8610468983363513</v>
      </c>
      <c r="T18" s="27">
        <f t="shared" ca="1" si="10"/>
        <v>1.9561441774095998</v>
      </c>
      <c r="U18" s="27">
        <f t="shared" ca="1" si="10"/>
        <v>1.2453712988455929</v>
      </c>
      <c r="V18" s="20"/>
      <c r="W18" s="22">
        <v>6</v>
      </c>
      <c r="X18" s="29">
        <f t="shared" ca="1" si="11"/>
        <v>673</v>
      </c>
      <c r="Y18" s="20"/>
      <c r="Z18" s="21"/>
      <c r="AA18" s="21"/>
      <c r="AB18" s="21"/>
      <c r="AC18" s="21"/>
    </row>
    <row r="19" spans="1:29" x14ac:dyDescent="0.25"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2">
        <v>7</v>
      </c>
      <c r="X19" s="29">
        <f t="shared" ca="1" si="11"/>
        <v>672</v>
      </c>
      <c r="Y19" s="21"/>
      <c r="Z19" s="21"/>
      <c r="AA19" s="21"/>
      <c r="AB19" s="21"/>
      <c r="AC19" s="21"/>
    </row>
    <row r="20" spans="1:29" x14ac:dyDescent="0.25"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2">
        <v>8</v>
      </c>
      <c r="X20" s="29">
        <f t="shared" ca="1" si="11"/>
        <v>671</v>
      </c>
      <c r="Y20" s="21"/>
      <c r="Z20" s="21"/>
      <c r="AA20" s="21"/>
      <c r="AB20" s="21"/>
      <c r="AC20" s="21"/>
    </row>
    <row r="21" spans="1:29" x14ac:dyDescent="0.25"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2">
        <v>9</v>
      </c>
      <c r="X21" s="29">
        <f t="shared" ca="1" si="11"/>
        <v>670</v>
      </c>
      <c r="Y21" s="21"/>
      <c r="Z21" s="21"/>
      <c r="AA21" s="21"/>
      <c r="AB21" s="21"/>
      <c r="AC21" s="21"/>
    </row>
    <row r="22" spans="1:29" ht="16.5" thickBot="1" x14ac:dyDescent="0.3">
      <c r="A22" t="s">
        <v>39</v>
      </c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2">
        <v>10</v>
      </c>
      <c r="X22" s="29">
        <f t="shared" ca="1" si="11"/>
        <v>669</v>
      </c>
      <c r="Y22" s="21"/>
      <c r="Z22" s="21"/>
      <c r="AA22" s="21"/>
      <c r="AB22" s="21"/>
      <c r="AC22" s="21"/>
    </row>
    <row r="23" spans="1:29" ht="16.5" thickTop="1" x14ac:dyDescent="0.25">
      <c r="A23" t="s">
        <v>35</v>
      </c>
      <c r="B23" s="28">
        <v>0</v>
      </c>
      <c r="C23" s="28">
        <v>0</v>
      </c>
      <c r="D23" s="28">
        <v>0</v>
      </c>
      <c r="E23" s="28">
        <v>0</v>
      </c>
      <c r="F23" s="28">
        <v>0</v>
      </c>
      <c r="G23" s="28">
        <v>0</v>
      </c>
      <c r="H23" s="28">
        <v>0</v>
      </c>
      <c r="I23" s="28">
        <v>0.1</v>
      </c>
      <c r="J23" s="28">
        <v>0.2</v>
      </c>
      <c r="K23" s="28">
        <v>0.7</v>
      </c>
      <c r="L23" s="21"/>
      <c r="M23" s="21">
        <f>SUM(B23:K23)</f>
        <v>1</v>
      </c>
      <c r="N23" s="21"/>
      <c r="O23" s="21"/>
      <c r="P23" s="21"/>
      <c r="Q23" s="21"/>
      <c r="R23" s="21"/>
      <c r="S23" s="21"/>
      <c r="T23" s="21"/>
      <c r="U23" s="21"/>
      <c r="V23" s="21"/>
      <c r="W23" s="31">
        <v>11</v>
      </c>
      <c r="X23" s="32">
        <f ca="1">W2</f>
        <v>662.79433617888787</v>
      </c>
      <c r="Y23" s="21"/>
      <c r="Z23" s="21"/>
      <c r="AA23" s="21"/>
      <c r="AB23" s="21"/>
      <c r="AC23" s="21"/>
    </row>
    <row r="24" spans="1:29" x14ac:dyDescent="0.25">
      <c r="A24" t="s">
        <v>36</v>
      </c>
      <c r="B24" s="28">
        <v>0.7</v>
      </c>
      <c r="C24" s="28">
        <v>0.2</v>
      </c>
      <c r="D24" s="28">
        <v>0.1</v>
      </c>
      <c r="E24" s="28">
        <v>0</v>
      </c>
      <c r="F24" s="28">
        <v>0</v>
      </c>
      <c r="G24" s="28">
        <v>0</v>
      </c>
      <c r="H24" s="28">
        <v>0</v>
      </c>
      <c r="I24" s="28">
        <v>0</v>
      </c>
      <c r="J24" s="28">
        <v>0</v>
      </c>
      <c r="K24" s="28">
        <v>0</v>
      </c>
      <c r="L24" s="21"/>
      <c r="M24" s="21">
        <f t="shared" ref="M24:M26" si="12">SUM(B24:K24)</f>
        <v>0.99999999999999989</v>
      </c>
      <c r="N24" s="21"/>
      <c r="O24" s="21"/>
      <c r="P24" s="21"/>
      <c r="Q24" s="21"/>
      <c r="R24" s="21"/>
      <c r="S24" s="21"/>
      <c r="T24" s="21"/>
      <c r="U24" s="21"/>
      <c r="V24" s="21"/>
      <c r="W24" s="22">
        <v>12</v>
      </c>
      <c r="X24" s="30">
        <f t="shared" ref="X24:X29" ca="1" si="13">W3</f>
        <v>663.01928240974144</v>
      </c>
      <c r="Y24" s="21"/>
      <c r="Z24" s="21"/>
      <c r="AA24" s="21"/>
      <c r="AB24" s="21"/>
      <c r="AC24" s="21"/>
    </row>
    <row r="25" spans="1:29" x14ac:dyDescent="0.25">
      <c r="A25" t="s">
        <v>37</v>
      </c>
      <c r="B25" s="28">
        <v>0</v>
      </c>
      <c r="C25" s="28">
        <v>0</v>
      </c>
      <c r="D25" s="28">
        <v>0</v>
      </c>
      <c r="E25" s="28">
        <v>0.1</v>
      </c>
      <c r="F25" s="28">
        <v>0.4</v>
      </c>
      <c r="G25" s="28">
        <v>0.4</v>
      </c>
      <c r="H25" s="28">
        <v>0.1</v>
      </c>
      <c r="I25" s="28">
        <v>0</v>
      </c>
      <c r="J25" s="28">
        <v>0</v>
      </c>
      <c r="K25" s="28">
        <v>0</v>
      </c>
      <c r="L25" s="21"/>
      <c r="M25" s="21">
        <f t="shared" si="12"/>
        <v>1</v>
      </c>
      <c r="N25" s="21"/>
      <c r="O25" s="21"/>
      <c r="P25" s="21"/>
      <c r="Q25" s="21"/>
      <c r="R25" s="21"/>
      <c r="S25" s="21"/>
      <c r="T25" s="21"/>
      <c r="U25" s="21"/>
      <c r="V25" s="21"/>
      <c r="W25" s="22">
        <v>13</v>
      </c>
      <c r="X25" s="30">
        <f t="shared" ca="1" si="13"/>
        <v>663.12928150469179</v>
      </c>
      <c r="Y25" s="21"/>
      <c r="Z25" s="21"/>
      <c r="AA25" s="21"/>
      <c r="AB25" s="21"/>
      <c r="AC25" s="21"/>
    </row>
    <row r="26" spans="1:29" x14ac:dyDescent="0.25">
      <c r="A26" t="s">
        <v>38</v>
      </c>
      <c r="B26" s="28">
        <v>0.4</v>
      </c>
      <c r="C26" s="28">
        <v>0.1</v>
      </c>
      <c r="D26" s="28">
        <v>0</v>
      </c>
      <c r="E26" s="28">
        <v>0</v>
      </c>
      <c r="F26" s="28">
        <v>0</v>
      </c>
      <c r="G26" s="28">
        <v>0</v>
      </c>
      <c r="H26" s="28">
        <v>0</v>
      </c>
      <c r="I26" s="28">
        <v>0</v>
      </c>
      <c r="J26" s="28">
        <v>0.1</v>
      </c>
      <c r="K26" s="28">
        <v>0.4</v>
      </c>
      <c r="L26" s="21"/>
      <c r="M26" s="21">
        <f t="shared" si="12"/>
        <v>1</v>
      </c>
      <c r="N26" s="21"/>
      <c r="O26" s="21"/>
      <c r="P26" s="21"/>
      <c r="Q26" s="21"/>
      <c r="R26" s="21"/>
      <c r="S26" s="21"/>
      <c r="T26" s="21"/>
      <c r="U26" s="21"/>
      <c r="V26" s="21"/>
      <c r="W26" s="22">
        <v>14</v>
      </c>
      <c r="X26" s="30">
        <f t="shared" ca="1" si="13"/>
        <v>663.30342605432008</v>
      </c>
      <c r="Y26" s="21"/>
      <c r="Z26" s="21"/>
      <c r="AA26" s="21"/>
      <c r="AB26" s="21"/>
      <c r="AC26" s="21"/>
    </row>
    <row r="27" spans="1:29" x14ac:dyDescent="0.25"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2">
        <v>15</v>
      </c>
      <c r="X27" s="30">
        <f t="shared" ca="1" si="13"/>
        <v>663.40629618306536</v>
      </c>
      <c r="Y27" s="21"/>
      <c r="Z27" s="21"/>
      <c r="AA27" s="21"/>
      <c r="AB27" s="21"/>
      <c r="AC27" s="21"/>
    </row>
    <row r="28" spans="1:29" x14ac:dyDescent="0.25"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2">
        <v>16</v>
      </c>
      <c r="X28" s="30">
        <f t="shared" ca="1" si="13"/>
        <v>663.4355477638926</v>
      </c>
      <c r="Y28" s="21"/>
      <c r="Z28" s="21"/>
      <c r="AA28" s="21"/>
      <c r="AB28" s="21"/>
      <c r="AC28" s="21"/>
    </row>
    <row r="29" spans="1:29" x14ac:dyDescent="0.25"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2">
        <v>17</v>
      </c>
      <c r="X29" s="30">
        <f t="shared" ca="1" si="13"/>
        <v>663.46482195873341</v>
      </c>
      <c r="Y29" s="21"/>
      <c r="Z29" s="21"/>
      <c r="AA29" s="21"/>
      <c r="AB29" s="21"/>
      <c r="AC29" s="21"/>
    </row>
    <row r="30" spans="1:29" x14ac:dyDescent="0.25"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30"/>
      <c r="Y30" s="21"/>
      <c r="Z30" s="21"/>
      <c r="AA30" s="21"/>
      <c r="AB30" s="21"/>
      <c r="AC30" s="21"/>
    </row>
    <row r="31" spans="1:29" ht="15" x14ac:dyDescent="0.25"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</row>
    <row r="32" spans="1:29" ht="15" x14ac:dyDescent="0.25"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</row>
    <row r="33" spans="2:29" ht="15" x14ac:dyDescent="0.25"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4D4DE-1449-4965-9211-F2E0A17EE75A}">
  <sheetPr codeName="Sheet5"/>
  <dimension ref="A1:Z17"/>
  <sheetViews>
    <sheetView workbookViewId="0">
      <pane ySplit="1" topLeftCell="A2" activePane="bottomLeft" state="frozenSplit"/>
      <selection pane="bottomLeft" activeCell="B3" sqref="B3"/>
    </sheetView>
  </sheetViews>
  <sheetFormatPr defaultColWidth="6.7109375" defaultRowHeight="15" x14ac:dyDescent="0.25"/>
  <cols>
    <col min="6" max="6" width="3.7109375" customWidth="1"/>
    <col min="7" max="7" width="9.28515625" style="14" bestFit="1" customWidth="1"/>
    <col min="8" max="8" width="5.42578125" bestFit="1" customWidth="1"/>
    <col min="9" max="10" width="8.28515625" bestFit="1" customWidth="1"/>
    <col min="26" max="26" width="10.7109375" customWidth="1"/>
  </cols>
  <sheetData>
    <row r="1" spans="1:26" s="3" customFormat="1" ht="30" x14ac:dyDescent="0.25">
      <c r="B1" s="3" t="s">
        <v>21</v>
      </c>
      <c r="C1" s="3" t="s">
        <v>22</v>
      </c>
      <c r="D1" s="3" t="s">
        <v>23</v>
      </c>
      <c r="E1" s="3" t="s">
        <v>17</v>
      </c>
      <c r="G1" s="13" t="s">
        <v>24</v>
      </c>
      <c r="H1" s="3" t="s">
        <v>25</v>
      </c>
      <c r="I1" s="3" t="s">
        <v>26</v>
      </c>
      <c r="J1" s="3" t="s">
        <v>27</v>
      </c>
      <c r="M1" s="3" t="s">
        <v>21</v>
      </c>
      <c r="N1" s="3" t="s">
        <v>22</v>
      </c>
      <c r="O1" s="3" t="s">
        <v>23</v>
      </c>
      <c r="P1" s="3" t="s">
        <v>17</v>
      </c>
      <c r="T1" s="2">
        <v>4</v>
      </c>
      <c r="U1" s="2"/>
      <c r="V1" s="2"/>
      <c r="W1" s="2"/>
      <c r="Y1" s="3" t="s">
        <v>19</v>
      </c>
      <c r="Z1" s="2" t="s">
        <v>11</v>
      </c>
    </row>
    <row r="2" spans="1:26" x14ac:dyDescent="0.25">
      <c r="A2">
        <v>0</v>
      </c>
      <c r="B2">
        <f ca="1">U2</f>
        <v>1</v>
      </c>
      <c r="C2">
        <f ca="1">sigmoid((C7*B$2)+(C8*B$3)+$E$2)</f>
        <v>0.98501233736961302</v>
      </c>
      <c r="D2">
        <f ca="1">sigmoid((D7*C$2)+(D8*C$3)+$E$2)</f>
        <v>0.99519398723206987</v>
      </c>
      <c r="E2">
        <v>0.1</v>
      </c>
      <c r="F2">
        <f ca="1">ROUND(D2,0)</f>
        <v>1</v>
      </c>
      <c r="G2" s="14">
        <f ca="1">W2</f>
        <v>0</v>
      </c>
      <c r="H2">
        <f ca="1">G2-D2</f>
        <v>-0.99519398723206987</v>
      </c>
      <c r="L2">
        <v>0</v>
      </c>
      <c r="M2">
        <f>AE2</f>
        <v>0</v>
      </c>
      <c r="N2">
        <f ca="1">sigmoid((N7*M$2)+(N8*M$3)+$E$2)</f>
        <v>4.9958374957880011E-2</v>
      </c>
      <c r="O2">
        <f ca="1">sigmoid((O7*N$2)+(O8*N$3)+$E$2)</f>
        <v>0.19591940166816896</v>
      </c>
      <c r="P2">
        <v>0.1</v>
      </c>
      <c r="T2" s="1">
        <f ca="1">IF(Y2="Y",RANDBETWEEN(4,11),T1)</f>
        <v>4</v>
      </c>
      <c r="U2" s="2">
        <f ca="1">OFFSET(U2,$T$2-2,0)</f>
        <v>1</v>
      </c>
      <c r="V2" s="2">
        <f ca="1">OFFSET(V2,$T$2-2,0)</f>
        <v>1</v>
      </c>
      <c r="W2" s="2">
        <f ca="1">OFFSET(W2,$T$2-2,0)</f>
        <v>0</v>
      </c>
      <c r="X2" s="1"/>
      <c r="Y2" t="s">
        <v>20</v>
      </c>
      <c r="Z2" s="1">
        <v>0.1</v>
      </c>
    </row>
    <row r="3" spans="1:26" x14ac:dyDescent="0.25">
      <c r="A3">
        <v>1</v>
      </c>
      <c r="B3">
        <f ca="1">V2</f>
        <v>1</v>
      </c>
      <c r="C3">
        <f ca="1">sigmoid((C11*B$2)+(C12*B$3)+$E$2)</f>
        <v>0.99764935541962829</v>
      </c>
      <c r="D3">
        <f ca="1">sigmoid((D11*C$2)+(D12*C$3)+$E$2)</f>
        <v>0.99701877860478727</v>
      </c>
      <c r="F3">
        <f ca="1">ROUND(D3,0)</f>
        <v>1</v>
      </c>
      <c r="G3" s="14">
        <v>1</v>
      </c>
      <c r="H3">
        <f ca="1">G3-D3</f>
        <v>2.9812213952127298E-3</v>
      </c>
      <c r="L3">
        <v>1</v>
      </c>
      <c r="M3">
        <f>AF2</f>
        <v>0</v>
      </c>
      <c r="N3">
        <f ca="1">sigmoid((N11*M$2)+(N12*M$3)+$E$2)</f>
        <v>4.9958374957880011E-2</v>
      </c>
      <c r="O3">
        <f ca="1">sigmoid((O11*N$2)+(O12*N$3)+$E$2)</f>
        <v>0.20741489842658442</v>
      </c>
      <c r="T3" s="1"/>
      <c r="U3" s="2"/>
      <c r="V3" s="2"/>
      <c r="W3" s="2"/>
      <c r="X3" s="1"/>
    </row>
    <row r="4" spans="1:26" x14ac:dyDescent="0.25">
      <c r="T4" s="1"/>
      <c r="U4">
        <v>1</v>
      </c>
      <c r="V4">
        <v>1</v>
      </c>
      <c r="W4">
        <v>0</v>
      </c>
    </row>
    <row r="5" spans="1:26" x14ac:dyDescent="0.25">
      <c r="T5" s="1"/>
      <c r="U5">
        <v>1</v>
      </c>
      <c r="V5">
        <v>0</v>
      </c>
      <c r="W5">
        <v>1</v>
      </c>
    </row>
    <row r="6" spans="1:26" x14ac:dyDescent="0.25">
      <c r="T6" s="1"/>
      <c r="U6">
        <v>0</v>
      </c>
      <c r="V6">
        <v>1</v>
      </c>
      <c r="W6">
        <v>1</v>
      </c>
    </row>
    <row r="7" spans="1:26" x14ac:dyDescent="0.25">
      <c r="C7">
        <v>1.0416385002386315E-13</v>
      </c>
      <c r="D7">
        <v>5.8320704139550754E-13</v>
      </c>
      <c r="I7">
        <f ca="1">$Z$2*C7*$H$2</f>
        <v>-1.0366323723069171E-14</v>
      </c>
      <c r="J7">
        <f ca="1">$Z$2*D7*$H$2</f>
        <v>-5.8040414090821391E-14</v>
      </c>
      <c r="N7">
        <f ca="1">C7+I7</f>
        <v>9.3797526300793981E-14</v>
      </c>
      <c r="O7">
        <f t="shared" ref="O7:O8" ca="1" si="0">D7+J7</f>
        <v>5.2516662730468618E-13</v>
      </c>
      <c r="T7" s="1"/>
      <c r="U7">
        <v>0</v>
      </c>
      <c r="V7">
        <v>0</v>
      </c>
      <c r="W7">
        <v>0</v>
      </c>
    </row>
    <row r="8" spans="1:26" x14ac:dyDescent="0.25">
      <c r="C8">
        <v>4.7861530370383107</v>
      </c>
      <c r="D8">
        <v>5.942597702411148</v>
      </c>
      <c r="I8">
        <f ca="1">$Z$2*C8*$H$3</f>
        <v>1.4268581834780997E-3</v>
      </c>
      <c r="J8">
        <f ca="1">$Z$2*D8*$H$3</f>
        <v>1.7716199413570126E-3</v>
      </c>
      <c r="N8">
        <f t="shared" ref="N8" ca="1" si="1">C8+I8</f>
        <v>4.7875798952217892</v>
      </c>
      <c r="O8">
        <f t="shared" ca="1" si="0"/>
        <v>5.9443693223525047</v>
      </c>
      <c r="T8" s="1"/>
    </row>
    <row r="9" spans="1:26" x14ac:dyDescent="0.25">
      <c r="T9" s="1"/>
    </row>
    <row r="10" spans="1:26" x14ac:dyDescent="0.25">
      <c r="T10" s="1"/>
    </row>
    <row r="11" spans="1:26" x14ac:dyDescent="0.25">
      <c r="C11">
        <v>2.9513481707812301E-13</v>
      </c>
      <c r="D11">
        <v>2.3660098941548585E-12</v>
      </c>
      <c r="I11">
        <f ca="1">$Z$2*C11*$H$2</f>
        <v>-2.9371639537898484E-14</v>
      </c>
      <c r="J11">
        <f ca="1">$Z$2*D11*$H$2</f>
        <v>-2.3546388203945015E-13</v>
      </c>
      <c r="N11">
        <f t="shared" ref="N11:O12" ca="1" si="2">C11+I11</f>
        <v>2.6576317754022454E-13</v>
      </c>
      <c r="O11">
        <f t="shared" ca="1" si="2"/>
        <v>2.1305460121154084E-12</v>
      </c>
      <c r="T11" s="1"/>
    </row>
    <row r="12" spans="1:26" x14ac:dyDescent="0.25">
      <c r="C12">
        <v>6.6450368659532284</v>
      </c>
      <c r="D12">
        <v>6.4221739043479396</v>
      </c>
      <c r="I12">
        <f ca="1">$Z$2*C12*$H$3</f>
        <v>1.9810326076757112E-3</v>
      </c>
      <c r="J12">
        <f ca="1">$Z$2*D12*$H$3</f>
        <v>1.9145922247418949E-3</v>
      </c>
      <c r="N12">
        <f t="shared" ca="1" si="2"/>
        <v>6.6470178985609039</v>
      </c>
      <c r="O12">
        <f t="shared" ca="1" si="2"/>
        <v>6.4240884965726819</v>
      </c>
    </row>
    <row r="15" spans="1:26" x14ac:dyDescent="0.25">
      <c r="C15">
        <v>2.1253214151424794E-12</v>
      </c>
      <c r="D15">
        <v>6.6287957827159874E-13</v>
      </c>
      <c r="I15">
        <f ca="1">$Z$2*C15*$H$2</f>
        <v>-2.1151070932853496E-13</v>
      </c>
      <c r="J15">
        <f ca="1">$Z$2*D15*$H$2</f>
        <v>-6.5969377055482532E-14</v>
      </c>
      <c r="N15">
        <f t="shared" ref="N15:O16" ca="1" si="3">C15+I15</f>
        <v>1.9138107058139447E-12</v>
      </c>
      <c r="O15">
        <f t="shared" ca="1" si="3"/>
        <v>5.9691020121611619E-13</v>
      </c>
    </row>
    <row r="16" spans="1:26" x14ac:dyDescent="0.25">
      <c r="C16">
        <v>5.811030302981246</v>
      </c>
      <c r="D16">
        <v>1.1485259306432629</v>
      </c>
      <c r="I16">
        <f ca="1">$Z$2*C16*$H$3</f>
        <v>1.7323967867477201E-3</v>
      </c>
      <c r="J16">
        <f ca="1">$Z$2*D16*$H$3</f>
        <v>3.4240100773903076E-4</v>
      </c>
      <c r="N16">
        <f t="shared" ca="1" si="3"/>
        <v>5.812762699767994</v>
      </c>
      <c r="O16">
        <f t="shared" ca="1" si="3"/>
        <v>1.148868331651002</v>
      </c>
    </row>
    <row r="17" spans="7:7" x14ac:dyDescent="0.25">
      <c r="G17"/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ackprop">
                <anchor moveWithCells="1">
                  <from>
                    <xdr:col>13</xdr:col>
                    <xdr:colOff>57150</xdr:colOff>
                    <xdr:row>18</xdr:row>
                    <xdr:rowOff>47625</xdr:rowOff>
                  </from>
                  <to>
                    <xdr:col>15</xdr:col>
                    <xdr:colOff>276225</xdr:colOff>
                    <xdr:row>20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F4FB1-D0F8-45A6-AAE1-393F0B1F4734}">
  <sheetPr codeName="Sheet4"/>
  <dimension ref="A1:AC19"/>
  <sheetViews>
    <sheetView tabSelected="1" workbookViewId="0">
      <pane ySplit="1" topLeftCell="A2" activePane="bottomLeft" state="frozenSplit"/>
      <selection pane="bottomLeft" activeCell="M10" sqref="M10"/>
    </sheetView>
  </sheetViews>
  <sheetFormatPr defaultColWidth="6.7109375" defaultRowHeight="15" x14ac:dyDescent="0.25"/>
  <cols>
    <col min="3" max="3" width="11" bestFit="1" customWidth="1"/>
    <col min="5" max="5" width="10" bestFit="1" customWidth="1"/>
    <col min="7" max="7" width="9.5703125" bestFit="1" customWidth="1"/>
    <col min="8" max="8" width="9" bestFit="1" customWidth="1"/>
    <col min="9" max="10" width="8.28515625" bestFit="1" customWidth="1"/>
    <col min="16" max="16" width="10" bestFit="1" customWidth="1"/>
    <col min="29" max="29" width="10.7109375" customWidth="1"/>
  </cols>
  <sheetData>
    <row r="1" spans="1:29" s="2" customFormat="1" ht="30" x14ac:dyDescent="0.25">
      <c r="B1" s="2" t="s">
        <v>21</v>
      </c>
      <c r="C1" s="2" t="s">
        <v>22</v>
      </c>
      <c r="D1" s="2" t="s">
        <v>23</v>
      </c>
      <c r="E1" s="2" t="s">
        <v>17</v>
      </c>
      <c r="G1" s="2" t="s">
        <v>24</v>
      </c>
      <c r="H1" s="2" t="s">
        <v>25</v>
      </c>
      <c r="M1" s="2" t="s">
        <v>21</v>
      </c>
      <c r="N1" s="2" t="s">
        <v>22</v>
      </c>
      <c r="O1" s="2" t="s">
        <v>23</v>
      </c>
      <c r="P1" s="2" t="s">
        <v>17</v>
      </c>
      <c r="T1" s="2">
        <v>10</v>
      </c>
      <c r="AB1" s="2" t="s">
        <v>19</v>
      </c>
      <c r="AC1" s="2" t="s">
        <v>11</v>
      </c>
    </row>
    <row r="2" spans="1:29" x14ac:dyDescent="0.25">
      <c r="A2">
        <v>0</v>
      </c>
      <c r="B2">
        <f ca="1">U2</f>
        <v>1</v>
      </c>
      <c r="C2">
        <f ca="1">sigmoid(SUM((C7*B$2),(C8*B$3),(C9*B$4),$E$2))</f>
        <v>0.97158830409501062</v>
      </c>
      <c r="D2">
        <f ca="1">sigmoid(SUM((D7*C$2),(D8*C$3),(D9*C$4),$E$2))</f>
        <v>0.26124042257967656</v>
      </c>
      <c r="E2">
        <v>9.9999999999999995E-8</v>
      </c>
      <c r="F2">
        <f ca="1">ROUND(D2,0)</f>
        <v>0</v>
      </c>
      <c r="G2" s="34">
        <f ca="1">X2</f>
        <v>1</v>
      </c>
      <c r="H2" s="33">
        <f ca="1">G2-D2</f>
        <v>0.7387595774203235</v>
      </c>
      <c r="L2">
        <v>0</v>
      </c>
      <c r="M2">
        <f>AH2</f>
        <v>0</v>
      </c>
      <c r="N2">
        <f ca="1">sigmoid((N7*M$2)+(N8*M$3)+(N9*M$4)+$E$2)</f>
        <v>4.9999999971676434E-8</v>
      </c>
      <c r="O2">
        <f ca="1">sigmoid((O7*N$2)+(O8*N$3)+(O9*N$4)+$E$2)</f>
        <v>6.4779742370529685E-8</v>
      </c>
      <c r="P2">
        <v>9.9999999999999995E-8</v>
      </c>
      <c r="T2" s="1">
        <f ca="1">IF(AB2="Y",RANDBETWEEN(4,11),T1)</f>
        <v>7</v>
      </c>
      <c r="U2" s="2">
        <f ca="1">OFFSET(U2,$T$2-2,0)</f>
        <v>1</v>
      </c>
      <c r="V2" s="2">
        <f ca="1">OFFSET(V2,$T$2-2,0)</f>
        <v>9.9999999999999995E-8</v>
      </c>
      <c r="W2" s="2">
        <f ca="1">OFFSET(W2,$T$2-2,0)</f>
        <v>9.9999999999999995E-8</v>
      </c>
      <c r="X2" s="2">
        <f ca="1">OFFSET(X2,$T2-2,0)</f>
        <v>1</v>
      </c>
      <c r="Y2" s="2">
        <f ca="1">OFFSET(Y2,$T$2-2,0)</f>
        <v>0</v>
      </c>
      <c r="Z2" s="2">
        <f ca="1">OFFSET(Z2,$T$2-2,0)</f>
        <v>0</v>
      </c>
      <c r="AA2" s="1"/>
      <c r="AB2" t="s">
        <v>28</v>
      </c>
      <c r="AC2" s="1">
        <v>0.1</v>
      </c>
    </row>
    <row r="3" spans="1:29" x14ac:dyDescent="0.25">
      <c r="A3">
        <v>1</v>
      </c>
      <c r="B3">
        <f ca="1">V2</f>
        <v>9.9999999999999995E-8</v>
      </c>
      <c r="C3">
        <f t="shared" ref="C3:C4" ca="1" si="0">sigmoid(SUM((C8*B$2),(C9*B$3),(C10*B$4),$E$2))</f>
        <v>5.0000004523590835E-8</v>
      </c>
      <c r="D3">
        <f ca="1">sigmoid((D12*C$2)+(D13*C$3)+(D14*C$4)+$E$2)</f>
        <v>0.91389560189420471</v>
      </c>
      <c r="F3">
        <f ca="1">ROUND(D3,0)</f>
        <v>1</v>
      </c>
      <c r="G3" s="34">
        <f ca="1">Y2</f>
        <v>0</v>
      </c>
      <c r="H3" s="33">
        <f ca="1">G3-D3</f>
        <v>-0.91389560189420471</v>
      </c>
      <c r="L3">
        <v>1</v>
      </c>
      <c r="M3">
        <f>AI2</f>
        <v>0</v>
      </c>
      <c r="N3">
        <f ca="1">sigmoid((N12*M$2)+(N13*M$3)+(N14*M$4)+$E$2)</f>
        <v>4.9999999971676434E-8</v>
      </c>
      <c r="O3">
        <f ca="1">sigmoid((O12*N$2)+(O13*N$3)+(O14*N$4)+$E$2)</f>
        <v>1.3569600789098109E-7</v>
      </c>
      <c r="T3" s="1"/>
      <c r="U3" s="2"/>
      <c r="V3" s="2"/>
      <c r="W3" s="2"/>
      <c r="X3" s="2"/>
      <c r="Y3" s="2"/>
      <c r="Z3" s="2"/>
      <c r="AA3" s="1"/>
    </row>
    <row r="4" spans="1:29" x14ac:dyDescent="0.25">
      <c r="A4">
        <v>2</v>
      </c>
      <c r="B4">
        <f ca="1">W2</f>
        <v>9.9999999999999995E-8</v>
      </c>
      <c r="C4">
        <f t="shared" ca="1" si="0"/>
        <v>5.0000000304743341E-8</v>
      </c>
      <c r="D4">
        <f ca="1">sigmoid((D17*C$2)+(D18*C$3)+(D19*C$4)+$E$2)</f>
        <v>0.95222738565859066</v>
      </c>
      <c r="F4">
        <f ca="1">ROUND(D4,0)</f>
        <v>1</v>
      </c>
      <c r="G4" s="34">
        <f ca="1">Z2</f>
        <v>0</v>
      </c>
      <c r="H4" s="33">
        <f ca="1">G4-D4</f>
        <v>-0.95222738565859066</v>
      </c>
      <c r="L4">
        <v>2</v>
      </c>
      <c r="M4">
        <f>AJ2</f>
        <v>0</v>
      </c>
      <c r="N4">
        <f ca="1">sigmoid((N17*M$2)+(N18*M$3)+(N19*M$4)+$E$2)</f>
        <v>4.9999999971676434E-8</v>
      </c>
      <c r="O4">
        <f ca="1">sigmoid((O17*N$2)+(O18*N$3)+(O19*N$4)+$E$2)</f>
        <v>1.5252216894638205E-7</v>
      </c>
      <c r="T4" s="1"/>
      <c r="U4" s="5">
        <v>9.9999999999999995E-8</v>
      </c>
      <c r="V4" s="5">
        <v>9.9999999999999995E-8</v>
      </c>
      <c r="W4" s="5">
        <v>9.9999999999999995E-8</v>
      </c>
      <c r="X4" s="5">
        <v>1</v>
      </c>
      <c r="Y4" s="5">
        <v>0</v>
      </c>
      <c r="Z4" s="5">
        <v>0</v>
      </c>
      <c r="AA4" s="1"/>
    </row>
    <row r="5" spans="1:29" x14ac:dyDescent="0.25">
      <c r="T5" s="1"/>
      <c r="U5" s="6">
        <v>1</v>
      </c>
      <c r="V5" s="6">
        <v>9.9999999999999995E-8</v>
      </c>
      <c r="W5" s="6">
        <v>1</v>
      </c>
      <c r="X5" s="6">
        <v>1</v>
      </c>
      <c r="Y5" s="6">
        <v>0</v>
      </c>
      <c r="Z5" s="6">
        <v>0</v>
      </c>
      <c r="AA5" s="1"/>
    </row>
    <row r="6" spans="1:29" x14ac:dyDescent="0.25">
      <c r="I6" s="3" t="s">
        <v>26</v>
      </c>
      <c r="J6" s="3" t="s">
        <v>27</v>
      </c>
      <c r="T6" s="1"/>
      <c r="U6" s="4">
        <v>9.9999999999999995E-8</v>
      </c>
      <c r="V6" s="4">
        <v>1</v>
      </c>
      <c r="W6" s="4">
        <v>1</v>
      </c>
      <c r="X6" s="4">
        <v>0</v>
      </c>
      <c r="Y6" s="4">
        <v>0</v>
      </c>
      <c r="Z6" s="4">
        <v>1</v>
      </c>
      <c r="AA6" s="1"/>
    </row>
    <row r="7" spans="1:29" x14ac:dyDescent="0.25">
      <c r="C7">
        <v>4.239793754594138</v>
      </c>
      <c r="D7">
        <v>0.55051953877508331</v>
      </c>
      <c r="I7">
        <f ca="1">$AC$2*C7*$H$2</f>
        <v>0.31321882424932923</v>
      </c>
      <c r="J7">
        <f ca="1">$AC$2*D7*$H$2</f>
        <v>4.0670158182711191E-2</v>
      </c>
      <c r="N7">
        <f ca="1">C7+I7</f>
        <v>4.5530125788434672</v>
      </c>
      <c r="O7">
        <f t="shared" ref="O7:O9" ca="1" si="1">D7+J7</f>
        <v>0.59118969695779455</v>
      </c>
      <c r="T7" s="1"/>
      <c r="U7" s="10">
        <v>1</v>
      </c>
      <c r="V7" s="10">
        <v>9.9999999999999995E-8</v>
      </c>
      <c r="W7" s="10">
        <v>9.9999999999999995E-8</v>
      </c>
      <c r="X7" s="10">
        <v>1</v>
      </c>
      <c r="Y7" s="10">
        <v>0</v>
      </c>
      <c r="Z7" s="10">
        <v>0</v>
      </c>
      <c r="AA7" s="1"/>
    </row>
    <row r="8" spans="1:29" x14ac:dyDescent="0.25">
      <c r="C8">
        <v>9.1078789231788604E-15</v>
      </c>
      <c r="D8">
        <v>3.017428131927311E-14</v>
      </c>
      <c r="I8">
        <f ca="1">$AC$2*C8*$H$3</f>
        <v>-8.3236504904780856E-16</v>
      </c>
      <c r="J8">
        <f ca="1">$AC$2*D8*$H$3</f>
        <v>-2.7576142988002158E-15</v>
      </c>
      <c r="N8">
        <f t="shared" ref="N8:N9" ca="1" si="2">C8+I8</f>
        <v>8.2755138741310519E-15</v>
      </c>
      <c r="O8">
        <f t="shared" ca="1" si="1"/>
        <v>2.7416667020472896E-14</v>
      </c>
      <c r="T8" s="1"/>
      <c r="U8" s="8">
        <v>9.9999999999999995E-8</v>
      </c>
      <c r="V8" s="8">
        <v>1</v>
      </c>
      <c r="W8" s="8">
        <v>9.9999999999999995E-8</v>
      </c>
      <c r="X8" s="8">
        <v>1</v>
      </c>
      <c r="Y8" s="8">
        <v>0</v>
      </c>
      <c r="Z8" s="8">
        <v>0</v>
      </c>
      <c r="AA8" s="1"/>
    </row>
    <row r="9" spans="1:29" x14ac:dyDescent="0.25">
      <c r="C9">
        <v>7.1879364083448362E-16</v>
      </c>
      <c r="D9">
        <v>1.631269937704917E-16</v>
      </c>
      <c r="I9">
        <f ca="1">$AC$2*C9*$H$4</f>
        <v>-6.8445498943984032E-17</v>
      </c>
      <c r="J9">
        <f ca="1">$AC$2*D9*$H$4</f>
        <v>-1.5533399080842049E-17</v>
      </c>
      <c r="N9">
        <f t="shared" ca="1" si="2"/>
        <v>6.5034814189049958E-16</v>
      </c>
      <c r="O9">
        <f t="shared" ca="1" si="1"/>
        <v>1.4759359468964964E-16</v>
      </c>
      <c r="T9" s="1"/>
      <c r="U9" s="9">
        <v>9.9999999999999995E-8</v>
      </c>
      <c r="V9" s="9">
        <v>9.9999999999999995E-8</v>
      </c>
      <c r="W9" s="9">
        <v>1</v>
      </c>
      <c r="X9" s="9">
        <v>0</v>
      </c>
      <c r="Y9" s="9">
        <v>0</v>
      </c>
      <c r="Z9" s="9">
        <v>1</v>
      </c>
      <c r="AA9" s="1"/>
    </row>
    <row r="10" spans="1:29" x14ac:dyDescent="0.25">
      <c r="T10" s="1"/>
      <c r="U10" s="7">
        <v>1</v>
      </c>
      <c r="V10" s="7">
        <v>1</v>
      </c>
      <c r="W10" s="7">
        <v>9.9999999999999995E-8</v>
      </c>
      <c r="X10" s="7">
        <v>0</v>
      </c>
      <c r="Y10" s="7">
        <v>0</v>
      </c>
      <c r="Z10" s="7">
        <v>1</v>
      </c>
      <c r="AA10" s="1"/>
    </row>
    <row r="11" spans="1:29" x14ac:dyDescent="0.25">
      <c r="T11" s="1"/>
      <c r="U11" s="12">
        <v>1</v>
      </c>
      <c r="V11" s="12">
        <v>1</v>
      </c>
      <c r="W11" s="12">
        <v>1</v>
      </c>
      <c r="X11" s="12">
        <v>0</v>
      </c>
      <c r="Y11" s="12">
        <v>0</v>
      </c>
      <c r="Z11" s="12">
        <v>1</v>
      </c>
      <c r="AA11" s="1"/>
    </row>
    <row r="12" spans="1:29" x14ac:dyDescent="0.25">
      <c r="C12">
        <v>1.9181828084953996</v>
      </c>
      <c r="D12">
        <v>3.1920263155616713</v>
      </c>
      <c r="I12">
        <f ca="1">$AC$2*C12*$H$2</f>
        <v>0.14170759210189909</v>
      </c>
      <c r="J12">
        <f ca="1">$AC$2*D12*$H$2</f>
        <v>0.23581400119988924</v>
      </c>
      <c r="N12">
        <f t="shared" ref="N12:N14" ca="1" si="3">C12+I12</f>
        <v>2.0598904005972987</v>
      </c>
      <c r="O12">
        <f t="shared" ref="O12:O14" ca="1" si="4">D12+J12</f>
        <v>3.4278403167615603</v>
      </c>
    </row>
    <row r="13" spans="1:29" x14ac:dyDescent="0.25">
      <c r="C13">
        <v>1.4231092695143501E-15</v>
      </c>
      <c r="D13">
        <v>1.6868915013455163E-15</v>
      </c>
      <c r="I13">
        <f ca="1">$AC$2*C13*$H$3</f>
        <v>-1.3005733024240392E-16</v>
      </c>
      <c r="J13">
        <f ca="1">$AC$2*D13*$H$3</f>
        <v>-1.5416427239523793E-16</v>
      </c>
      <c r="N13">
        <f t="shared" ca="1" si="3"/>
        <v>1.2930519392719461E-15</v>
      </c>
      <c r="O13">
        <f t="shared" ca="1" si="4"/>
        <v>1.5327272289502782E-15</v>
      </c>
    </row>
    <row r="14" spans="1:29" x14ac:dyDescent="0.25">
      <c r="C14">
        <v>2.0711619534964933E-16</v>
      </c>
      <c r="D14">
        <v>8.1567476281565345E-16</v>
      </c>
      <c r="I14">
        <f ca="1">$AC$2*C14*$H$4</f>
        <v>-1.9722171322535055E-17</v>
      </c>
      <c r="J14">
        <f ca="1">$AC$2*D14*$H$4</f>
        <v>-7.7670784694364083E-17</v>
      </c>
      <c r="N14">
        <f t="shared" ca="1" si="3"/>
        <v>1.8739402402711428E-16</v>
      </c>
      <c r="O14">
        <f t="shared" ca="1" si="4"/>
        <v>7.3800397812128933E-16</v>
      </c>
    </row>
    <row r="17" spans="3:15" x14ac:dyDescent="0.25">
      <c r="C17">
        <v>0.9666463711889377</v>
      </c>
      <c r="D17">
        <v>3.8187713659358202</v>
      </c>
      <c r="I17">
        <f ca="1">$AC$2*C17*$H$2</f>
        <v>7.1411926469442888E-2</v>
      </c>
      <c r="J17">
        <f ca="1">$AC$2*D17*$H$2</f>
        <v>0.28211539205635783</v>
      </c>
      <c r="N17">
        <f t="shared" ref="N17:N19" ca="1" si="5">C17+I17</f>
        <v>1.0380582976583805</v>
      </c>
      <c r="O17">
        <f t="shared" ref="O17:O19" ca="1" si="6">D17+J17</f>
        <v>4.1008867579921784</v>
      </c>
    </row>
    <row r="18" spans="3:15" x14ac:dyDescent="0.25">
      <c r="C18">
        <v>2.5241578910339582E-14</v>
      </c>
      <c r="D18">
        <v>1.146243680568374E-14</v>
      </c>
      <c r="I18">
        <f ca="1">$AC$2*C18*$H$3</f>
        <v>-2.3068167951024857E-15</v>
      </c>
      <c r="J18">
        <f ca="1">$AC$2*D18*$H$3</f>
        <v>-1.0475470583704628E-15</v>
      </c>
      <c r="N18">
        <f t="shared" ca="1" si="5"/>
        <v>2.2934762115237095E-14</v>
      </c>
      <c r="O18">
        <f t="shared" ca="1" si="6"/>
        <v>1.0414889747313277E-14</v>
      </c>
    </row>
    <row r="19" spans="3:15" x14ac:dyDescent="0.25">
      <c r="C19">
        <v>3.1015810463205614E-16</v>
      </c>
      <c r="D19">
        <v>3.1114073734395925E-16</v>
      </c>
      <c r="I19">
        <f ca="1">$AC$2*C19*$H$4</f>
        <v>-2.9534104111460643E-17</v>
      </c>
      <c r="J19">
        <f ca="1">$AC$2*D19*$H$4</f>
        <v>-2.9627673089292458E-17</v>
      </c>
      <c r="N19">
        <f t="shared" ca="1" si="5"/>
        <v>2.8062400052059547E-16</v>
      </c>
      <c r="O19">
        <f t="shared" ca="1" si="6"/>
        <v>2.8151306425466682E-16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backprop">
                <anchor moveWithCells="1">
                  <from>
                    <xdr:col>13</xdr:col>
                    <xdr:colOff>57150</xdr:colOff>
                    <xdr:row>20</xdr:row>
                    <xdr:rowOff>47625</xdr:rowOff>
                  </from>
                  <to>
                    <xdr:col>15</xdr:col>
                    <xdr:colOff>276225</xdr:colOff>
                    <xdr:row>22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44A89-7A7C-492B-873C-79BB387C7866}">
  <sheetPr codeName="Sheet3"/>
  <dimension ref="A1:Y426"/>
  <sheetViews>
    <sheetView workbookViewId="0">
      <pane ySplit="1" topLeftCell="A2" activePane="bottomLeft" state="frozenSplit"/>
      <selection pane="bottomLeft" activeCell="K2" sqref="K2"/>
    </sheetView>
  </sheetViews>
  <sheetFormatPr defaultRowHeight="15" x14ac:dyDescent="0.25"/>
  <cols>
    <col min="1" max="2" width="9.140625" style="1"/>
    <col min="3" max="3" width="8.5703125" customWidth="1"/>
    <col min="4" max="8" width="9.140625" style="1"/>
    <col min="9" max="9" width="9.140625" style="1" bestFit="1" customWidth="1"/>
    <col min="10" max="10" width="9.140625" style="1" customWidth="1"/>
    <col min="11" max="13" width="10.140625" style="1" bestFit="1" customWidth="1"/>
    <col min="14" max="14" width="11.140625" customWidth="1"/>
    <col min="17" max="17" width="4.85546875" customWidth="1"/>
    <col min="18" max="23" width="6.7109375" style="1" customWidth="1"/>
    <col min="24" max="24" width="4.7109375" customWidth="1"/>
    <col min="25" max="25" width="6" bestFit="1" customWidth="1"/>
  </cols>
  <sheetData>
    <row r="1" spans="1:25" s="3" customFormat="1" ht="30" x14ac:dyDescent="0.25">
      <c r="D1" s="2" t="s">
        <v>3</v>
      </c>
      <c r="E1" s="2" t="s">
        <v>4</v>
      </c>
      <c r="F1" s="2" t="s">
        <v>5</v>
      </c>
      <c r="G1" s="2" t="s">
        <v>6</v>
      </c>
      <c r="H1" s="2" t="s">
        <v>13</v>
      </c>
      <c r="I1" s="2" t="s">
        <v>10</v>
      </c>
      <c r="J1" s="2" t="s">
        <v>12</v>
      </c>
      <c r="K1" s="2" t="s">
        <v>7</v>
      </c>
      <c r="L1" s="2" t="s">
        <v>8</v>
      </c>
      <c r="M1" s="2" t="s">
        <v>9</v>
      </c>
      <c r="N1" s="2" t="s">
        <v>11</v>
      </c>
      <c r="O1" s="3" t="s">
        <v>17</v>
      </c>
      <c r="Q1" s="3">
        <v>9</v>
      </c>
      <c r="R1" s="2"/>
      <c r="S1" s="2"/>
      <c r="T1" s="2"/>
      <c r="U1" s="2"/>
      <c r="V1" s="2"/>
      <c r="W1" s="2"/>
      <c r="Y1" s="3" t="s">
        <v>19</v>
      </c>
    </row>
    <row r="2" spans="1:25" x14ac:dyDescent="0.25">
      <c r="A2" s="2" t="s">
        <v>0</v>
      </c>
      <c r="B2" s="11">
        <f ca="1">R2</f>
        <v>0</v>
      </c>
      <c r="C2">
        <f ca="1">OFFSET(A1,0,16)</f>
        <v>9</v>
      </c>
      <c r="D2" s="1">
        <v>4.7930770325218516E-2</v>
      </c>
      <c r="E2" s="1">
        <v>6.787221564344359E-3</v>
      </c>
      <c r="F2" s="1">
        <v>1.3529490540685618E-2</v>
      </c>
      <c r="G2" s="1">
        <f ca="1">sigmoid((D2*$B$2)+(E2*$B$3)+(F2*$B$4)+$O$2)</f>
        <v>0.46742061577623473</v>
      </c>
      <c r="H2" s="1">
        <f ca="1">ROUND(G2,0)</f>
        <v>0</v>
      </c>
      <c r="I2" s="1">
        <f ca="1">U2</f>
        <v>0</v>
      </c>
      <c r="J2" s="1">
        <f ca="1">I2-G2</f>
        <v>-0.46742061577623473</v>
      </c>
      <c r="K2" s="1">
        <f t="shared" ref="K2:M4" ca="1" si="0">$N$2*D2*$J2</f>
        <v>-4.4807660360085839E-3</v>
      </c>
      <c r="L2" s="1">
        <f t="shared" ca="1" si="0"/>
        <v>-6.3449745660311592E-4</v>
      </c>
      <c r="M2" s="1">
        <f t="shared" ca="1" si="0"/>
        <v>-1.2647925599332029E-3</v>
      </c>
      <c r="N2">
        <v>0.2</v>
      </c>
      <c r="O2">
        <v>1</v>
      </c>
      <c r="Q2" s="1">
        <f ca="1">IF(Y2="Y",RANDBETWEEN(4,11),Q1)</f>
        <v>9</v>
      </c>
      <c r="R2" s="2">
        <f ca="1">OFFSET(R2,$Q$2-2,0)</f>
        <v>0</v>
      </c>
      <c r="S2" s="2">
        <f t="shared" ref="S2:W2" ca="1" si="1">OFFSET(S2,$Q$2-2,0)</f>
        <v>0</v>
      </c>
      <c r="T2" s="2">
        <f t="shared" ca="1" si="1"/>
        <v>1</v>
      </c>
      <c r="U2" s="2">
        <f t="shared" ca="1" si="1"/>
        <v>0</v>
      </c>
      <c r="V2" s="2">
        <f t="shared" ca="1" si="1"/>
        <v>0</v>
      </c>
      <c r="W2" s="2">
        <f t="shared" ca="1" si="1"/>
        <v>0</v>
      </c>
      <c r="X2" s="1"/>
      <c r="Y2" t="s">
        <v>20</v>
      </c>
    </row>
    <row r="3" spans="1:25" x14ac:dyDescent="0.25">
      <c r="A3" s="2" t="s">
        <v>1</v>
      </c>
      <c r="B3" s="11">
        <f ca="1">S2</f>
        <v>0</v>
      </c>
      <c r="D3" s="1">
        <v>2.6529881214003709E-2</v>
      </c>
      <c r="E3" s="1">
        <v>3.8712635244207354E-3</v>
      </c>
      <c r="F3" s="1">
        <v>2.6399626038762534E-2</v>
      </c>
      <c r="G3" s="1">
        <f ca="1">sigmoid((D3*$B$2)+(E3*$B$3)+(F3*$B$4)+$O$2)</f>
        <v>0.47243458619953843</v>
      </c>
      <c r="H3" s="1">
        <f t="shared" ref="H3:H4" ca="1" si="2">ROUND(G3,0)</f>
        <v>0</v>
      </c>
      <c r="I3" s="1">
        <f ca="1">V2</f>
        <v>0</v>
      </c>
      <c r="J3" s="1">
        <f t="shared" ref="J3:J4" ca="1" si="3">I3-G3</f>
        <v>-0.47243458619953843</v>
      </c>
      <c r="K3" s="1">
        <f t="shared" ca="1" si="0"/>
        <v>-2.50672669065215E-3</v>
      </c>
      <c r="L3" s="1">
        <f t="shared" ca="1" si="0"/>
        <v>-3.6578375624581543E-4</v>
      </c>
      <c r="M3" s="1">
        <f t="shared" ca="1" si="0"/>
        <v>-2.4944192806890678E-3</v>
      </c>
      <c r="Q3" s="1"/>
      <c r="R3" s="2"/>
      <c r="S3" s="2"/>
      <c r="T3" s="2"/>
      <c r="U3" s="2"/>
      <c r="V3" s="2"/>
      <c r="W3" s="2"/>
      <c r="X3" s="1"/>
    </row>
    <row r="4" spans="1:25" x14ac:dyDescent="0.25">
      <c r="A4" s="2" t="s">
        <v>2</v>
      </c>
      <c r="B4" s="11">
        <f ca="1">T2</f>
        <v>1</v>
      </c>
      <c r="D4" s="1">
        <v>1.0731472173140345E-2</v>
      </c>
      <c r="E4" s="1">
        <v>5.4460449887783403E-2</v>
      </c>
      <c r="F4" s="1">
        <v>4.193735765455419E-2</v>
      </c>
      <c r="G4" s="1">
        <f ca="1">sigmoid((D4*$B$2)+(E4*$B$3)+(F4*$B$4)+$O$2)</f>
        <v>0.47844729507140171</v>
      </c>
      <c r="H4" s="1">
        <f t="shared" ca="1" si="2"/>
        <v>0</v>
      </c>
      <c r="I4" s="1">
        <f ca="1">W2</f>
        <v>0</v>
      </c>
      <c r="J4" s="1">
        <f t="shared" ca="1" si="3"/>
        <v>-0.47844729507140171</v>
      </c>
      <c r="K4" s="1">
        <f t="shared" ca="1" si="0"/>
        <v>-1.026888766674603E-3</v>
      </c>
      <c r="L4" s="1">
        <f t="shared" ca="1" si="0"/>
        <v>-5.2112909874363188E-3</v>
      </c>
      <c r="M4" s="1">
        <f t="shared" ca="1" si="0"/>
        <v>-4.0129630664526798E-3</v>
      </c>
      <c r="Q4" s="1"/>
      <c r="R4" s="5">
        <v>0</v>
      </c>
      <c r="S4" s="5">
        <v>0</v>
      </c>
      <c r="T4" s="5">
        <v>0</v>
      </c>
      <c r="U4" s="5">
        <v>1</v>
      </c>
      <c r="V4" s="5">
        <v>1</v>
      </c>
      <c r="W4" s="5">
        <v>1</v>
      </c>
      <c r="X4" s="1"/>
    </row>
    <row r="5" spans="1:25" x14ac:dyDescent="0.25">
      <c r="A5"/>
      <c r="B5"/>
      <c r="D5"/>
      <c r="E5"/>
      <c r="F5"/>
      <c r="G5"/>
      <c r="H5"/>
      <c r="I5"/>
      <c r="J5"/>
      <c r="K5"/>
      <c r="L5"/>
      <c r="M5"/>
      <c r="Q5" s="1"/>
      <c r="R5" s="6">
        <v>1</v>
      </c>
      <c r="S5" s="6">
        <v>0</v>
      </c>
      <c r="T5" s="6">
        <v>1</v>
      </c>
      <c r="U5" s="6">
        <v>1</v>
      </c>
      <c r="V5" s="6">
        <v>1</v>
      </c>
      <c r="W5" s="6">
        <v>1</v>
      </c>
      <c r="X5" s="1"/>
    </row>
    <row r="6" spans="1:25" x14ac:dyDescent="0.25">
      <c r="A6"/>
      <c r="B6"/>
      <c r="D6"/>
      <c r="E6"/>
      <c r="F6"/>
      <c r="G6"/>
      <c r="H6"/>
      <c r="I6"/>
      <c r="J6"/>
      <c r="K6"/>
      <c r="L6"/>
      <c r="M6"/>
      <c r="Q6" s="1"/>
      <c r="R6" s="4">
        <v>0</v>
      </c>
      <c r="S6" s="4">
        <v>1</v>
      </c>
      <c r="T6" s="4">
        <v>1</v>
      </c>
      <c r="U6" s="4">
        <v>0</v>
      </c>
      <c r="V6" s="4">
        <v>0</v>
      </c>
      <c r="W6" s="4">
        <v>0</v>
      </c>
      <c r="X6" s="1"/>
    </row>
    <row r="7" spans="1:25" x14ac:dyDescent="0.25">
      <c r="A7" t="s">
        <v>18</v>
      </c>
      <c r="B7"/>
      <c r="D7"/>
      <c r="E7"/>
      <c r="F7"/>
      <c r="G7"/>
      <c r="H7"/>
      <c r="I7"/>
      <c r="J7"/>
      <c r="K7"/>
      <c r="L7"/>
      <c r="M7"/>
      <c r="Q7" s="1"/>
      <c r="R7" s="10">
        <v>1</v>
      </c>
      <c r="S7" s="10">
        <v>0</v>
      </c>
      <c r="T7" s="10">
        <v>0</v>
      </c>
      <c r="U7" s="10">
        <v>1</v>
      </c>
      <c r="V7" s="10">
        <v>1</v>
      </c>
      <c r="W7" s="10">
        <v>1</v>
      </c>
      <c r="X7" s="1"/>
    </row>
    <row r="8" spans="1:25" x14ac:dyDescent="0.25">
      <c r="A8"/>
      <c r="B8"/>
      <c r="D8">
        <f t="shared" ref="D8:F10" ca="1" si="4">D2+K2</f>
        <v>4.3450004289209934E-2</v>
      </c>
      <c r="E8">
        <f t="shared" ca="1" si="4"/>
        <v>6.1527241077412431E-3</v>
      </c>
      <c r="F8">
        <f t="shared" ca="1" si="4"/>
        <v>1.2264697980752415E-2</v>
      </c>
      <c r="G8" s="1">
        <f ca="1">sigmoid((D8*$B$2)+(E8*$B$3)+(F8*$B$4)+$O$2)</f>
        <v>0.46692624065163818</v>
      </c>
      <c r="H8" s="1">
        <f ca="1">ROUND(G8,0)</f>
        <v>0</v>
      </c>
      <c r="I8" s="1">
        <f ca="1">I2</f>
        <v>0</v>
      </c>
      <c r="J8" s="1">
        <f ca="1">I8-G8</f>
        <v>-0.46692624065163818</v>
      </c>
      <c r="K8" s="1">
        <f t="shared" ref="K8:M10" ca="1" si="5">$N$2*D8*$J8</f>
        <v>-4.0575894318116692E-3</v>
      </c>
      <c r="L8" s="1">
        <f t="shared" ca="1" si="5"/>
        <v>-5.7457366747886481E-4</v>
      </c>
      <c r="M8" s="1">
        <f t="shared" ca="1" si="5"/>
        <v>-1.1453418641760927E-3</v>
      </c>
      <c r="Q8" s="1"/>
      <c r="R8" s="8">
        <v>0</v>
      </c>
      <c r="S8" s="8">
        <v>1</v>
      </c>
      <c r="T8" s="8">
        <v>0</v>
      </c>
      <c r="U8" s="8">
        <v>1</v>
      </c>
      <c r="V8" s="8">
        <v>1</v>
      </c>
      <c r="W8" s="8">
        <v>1</v>
      </c>
      <c r="X8" s="1"/>
    </row>
    <row r="9" spans="1:25" x14ac:dyDescent="0.25">
      <c r="A9"/>
      <c r="B9"/>
      <c r="D9">
        <f t="shared" ca="1" si="4"/>
        <v>2.4023154523351558E-2</v>
      </c>
      <c r="E9">
        <f t="shared" ca="1" si="4"/>
        <v>3.5054797681749201E-3</v>
      </c>
      <c r="F9">
        <f t="shared" ca="1" si="4"/>
        <v>2.3905206758073467E-2</v>
      </c>
      <c r="G9" s="1">
        <f ca="1">sigmoid((D9*$B$2)+(E9*$B$3)+(F9*$B$4)+$O$2)</f>
        <v>0.47146517611625682</v>
      </c>
      <c r="H9" s="1">
        <f t="shared" ref="H9:H10" ca="1" si="6">ROUND(G9,0)</f>
        <v>0</v>
      </c>
      <c r="I9" s="1">
        <f ca="1">I3</f>
        <v>0</v>
      </c>
      <c r="J9" s="1">
        <f t="shared" ref="J9:J10" ca="1" si="7">I9-G9</f>
        <v>-0.47146517611625682</v>
      </c>
      <c r="K9" s="1">
        <f t="shared" ca="1" si="5"/>
        <v>-2.265216155643999E-3</v>
      </c>
      <c r="L9" s="1">
        <f t="shared" ca="1" si="5"/>
        <v>-3.3054232725491275E-4</v>
      </c>
      <c r="M9" s="1">
        <f t="shared" ca="1" si="5"/>
        <v>-2.2540945028581283E-3</v>
      </c>
      <c r="Q9" s="1"/>
      <c r="R9" s="9">
        <v>0</v>
      </c>
      <c r="S9" s="9">
        <v>0</v>
      </c>
      <c r="T9" s="9">
        <v>1</v>
      </c>
      <c r="U9" s="9">
        <v>0</v>
      </c>
      <c r="V9" s="9">
        <v>0</v>
      </c>
      <c r="W9" s="9">
        <v>0</v>
      </c>
      <c r="X9" s="1"/>
    </row>
    <row r="10" spans="1:25" x14ac:dyDescent="0.25">
      <c r="A10"/>
      <c r="B10"/>
      <c r="D10">
        <f t="shared" ca="1" si="4"/>
        <v>9.7045834064657423E-3</v>
      </c>
      <c r="E10">
        <f t="shared" ca="1" si="4"/>
        <v>4.9249158900347083E-2</v>
      </c>
      <c r="F10">
        <f t="shared" ca="1" si="4"/>
        <v>3.7924394588101512E-2</v>
      </c>
      <c r="G10" s="1">
        <f ca="1">sigmoid((D10*$B$2)+(E10*$B$3)+(F10*$B$4)+$O$2)</f>
        <v>0.4768986362385485</v>
      </c>
      <c r="H10" s="1">
        <f t="shared" ca="1" si="6"/>
        <v>0</v>
      </c>
      <c r="I10" s="1">
        <f ca="1">I4</f>
        <v>0</v>
      </c>
      <c r="J10" s="1">
        <f t="shared" ca="1" si="7"/>
        <v>-0.4768986362385485</v>
      </c>
      <c r="K10" s="1">
        <f t="shared" ca="1" si="5"/>
        <v>-9.2562051836135204E-4</v>
      </c>
      <c r="L10" s="1">
        <f t="shared" ca="1" si="5"/>
        <v>-4.6973713430942194E-3</v>
      </c>
      <c r="M10" s="1">
        <f t="shared" ca="1" si="5"/>
        <v>-3.6172184118476399E-3</v>
      </c>
      <c r="Q10" s="1"/>
      <c r="R10" s="7">
        <v>1</v>
      </c>
      <c r="S10" s="7">
        <v>1</v>
      </c>
      <c r="T10" s="7">
        <v>0</v>
      </c>
      <c r="U10" s="7">
        <v>0</v>
      </c>
      <c r="V10" s="7">
        <v>0</v>
      </c>
      <c r="W10" s="7">
        <v>0</v>
      </c>
      <c r="X10" s="1"/>
    </row>
    <row r="11" spans="1:25" x14ac:dyDescent="0.25">
      <c r="A11"/>
      <c r="B11"/>
      <c r="D11"/>
      <c r="E11"/>
      <c r="F11"/>
      <c r="G11"/>
      <c r="H11"/>
      <c r="I11"/>
      <c r="J11"/>
      <c r="K11"/>
      <c r="L11"/>
      <c r="M11"/>
      <c r="Q11" s="1"/>
      <c r="R11" s="12">
        <v>1</v>
      </c>
      <c r="S11" s="12">
        <v>1</v>
      </c>
      <c r="T11" s="12">
        <v>1</v>
      </c>
      <c r="U11" s="12">
        <v>0</v>
      </c>
      <c r="V11" s="12">
        <v>0</v>
      </c>
      <c r="W11" s="12">
        <v>0</v>
      </c>
      <c r="X11" s="1"/>
    </row>
    <row r="12" spans="1:25" x14ac:dyDescent="0.25">
      <c r="A12"/>
      <c r="B12"/>
      <c r="D12"/>
      <c r="E12"/>
      <c r="F12"/>
      <c r="G12"/>
      <c r="H12"/>
      <c r="I12"/>
      <c r="J12"/>
      <c r="K12"/>
      <c r="L12"/>
      <c r="M12"/>
      <c r="Q12" s="1"/>
      <c r="X12" s="1"/>
    </row>
    <row r="13" spans="1:25" x14ac:dyDescent="0.25">
      <c r="A13"/>
      <c r="B13"/>
      <c r="D13"/>
      <c r="E13"/>
      <c r="F13"/>
      <c r="G13"/>
      <c r="H13"/>
      <c r="I13"/>
      <c r="J13"/>
      <c r="K13"/>
      <c r="L13"/>
      <c r="M13"/>
    </row>
    <row r="14" spans="1:25" x14ac:dyDescent="0.25">
      <c r="A14"/>
      <c r="B14"/>
      <c r="D14"/>
      <c r="E14"/>
      <c r="F14"/>
      <c r="G14"/>
      <c r="H14"/>
      <c r="I14"/>
      <c r="J14"/>
      <c r="K14"/>
      <c r="L14"/>
      <c r="M14"/>
    </row>
    <row r="15" spans="1:25" x14ac:dyDescent="0.25">
      <c r="A15"/>
      <c r="B15"/>
      <c r="D15"/>
      <c r="E15"/>
      <c r="F15"/>
      <c r="G15"/>
      <c r="H15"/>
      <c r="I15"/>
      <c r="J15"/>
      <c r="K15"/>
      <c r="L15"/>
      <c r="M15"/>
    </row>
    <row r="16" spans="1:25" x14ac:dyDescent="0.25">
      <c r="A16"/>
      <c r="B16"/>
      <c r="D16"/>
      <c r="E16"/>
      <c r="F16"/>
      <c r="G16"/>
      <c r="H16"/>
      <c r="I16"/>
      <c r="J16"/>
      <c r="K16"/>
      <c r="L16"/>
      <c r="M16"/>
    </row>
    <row r="17" spans="1:13" x14ac:dyDescent="0.25">
      <c r="A17"/>
      <c r="B17"/>
      <c r="D17"/>
      <c r="E17"/>
      <c r="F17"/>
      <c r="G17"/>
      <c r="H17"/>
      <c r="I17"/>
      <c r="J17"/>
      <c r="K17"/>
      <c r="L17"/>
      <c r="M17"/>
    </row>
    <row r="18" spans="1:13" x14ac:dyDescent="0.25">
      <c r="A18"/>
      <c r="B18"/>
      <c r="D18"/>
      <c r="E18"/>
      <c r="F18"/>
      <c r="G18"/>
      <c r="H18"/>
      <c r="I18"/>
      <c r="J18"/>
      <c r="K18"/>
      <c r="L18"/>
      <c r="M18"/>
    </row>
    <row r="19" spans="1:13" x14ac:dyDescent="0.25">
      <c r="A19"/>
      <c r="B19"/>
      <c r="D19"/>
      <c r="E19"/>
      <c r="F19"/>
      <c r="G19"/>
      <c r="H19"/>
      <c r="I19"/>
      <c r="J19"/>
      <c r="K19"/>
      <c r="L19"/>
      <c r="M19"/>
    </row>
    <row r="20" spans="1:13" x14ac:dyDescent="0.25">
      <c r="A20"/>
      <c r="B20"/>
      <c r="D20"/>
      <c r="E20"/>
      <c r="F20"/>
      <c r="G20"/>
      <c r="H20"/>
      <c r="I20"/>
      <c r="J20"/>
      <c r="K20"/>
      <c r="L20"/>
      <c r="M20"/>
    </row>
    <row r="21" spans="1:13" x14ac:dyDescent="0.25">
      <c r="A21"/>
      <c r="B21"/>
      <c r="D21"/>
      <c r="E21"/>
      <c r="F21"/>
      <c r="G21"/>
      <c r="H21"/>
      <c r="I21"/>
      <c r="J21"/>
      <c r="K21"/>
      <c r="L21"/>
      <c r="M21"/>
    </row>
    <row r="22" spans="1:13" x14ac:dyDescent="0.25">
      <c r="A22"/>
      <c r="B22"/>
      <c r="D22"/>
      <c r="E22"/>
      <c r="F22"/>
      <c r="G22"/>
      <c r="H22"/>
      <c r="I22"/>
      <c r="J22"/>
      <c r="K22"/>
      <c r="L22"/>
      <c r="M22"/>
    </row>
    <row r="23" spans="1:13" x14ac:dyDescent="0.25">
      <c r="A23"/>
      <c r="B23"/>
      <c r="D23"/>
      <c r="E23"/>
      <c r="F23"/>
      <c r="G23"/>
      <c r="H23"/>
      <c r="I23"/>
      <c r="J23"/>
      <c r="K23"/>
      <c r="L23"/>
      <c r="M23"/>
    </row>
    <row r="24" spans="1:13" x14ac:dyDescent="0.25">
      <c r="A24"/>
      <c r="B24"/>
      <c r="D24"/>
      <c r="E24"/>
      <c r="F24"/>
      <c r="G24"/>
      <c r="H24"/>
      <c r="I24"/>
      <c r="J24"/>
      <c r="K24"/>
      <c r="L24"/>
      <c r="M24"/>
    </row>
    <row r="25" spans="1:13" x14ac:dyDescent="0.25">
      <c r="A25"/>
      <c r="B25"/>
      <c r="D25"/>
      <c r="E25"/>
      <c r="F25"/>
      <c r="G25"/>
      <c r="H25"/>
      <c r="I25"/>
      <c r="J25"/>
      <c r="K25"/>
      <c r="L25"/>
      <c r="M25"/>
    </row>
    <row r="26" spans="1:13" x14ac:dyDescent="0.25">
      <c r="A26"/>
      <c r="B26"/>
      <c r="D26"/>
      <c r="E26"/>
      <c r="F26"/>
      <c r="G26"/>
      <c r="H26"/>
      <c r="I26"/>
      <c r="J26"/>
      <c r="K26"/>
      <c r="L26"/>
      <c r="M26"/>
    </row>
    <row r="27" spans="1:13" x14ac:dyDescent="0.25">
      <c r="A27"/>
      <c r="B27"/>
      <c r="D27"/>
      <c r="E27"/>
      <c r="F27"/>
      <c r="G27"/>
      <c r="H27"/>
      <c r="I27"/>
      <c r="J27"/>
      <c r="K27"/>
      <c r="L27"/>
      <c r="M27"/>
    </row>
    <row r="28" spans="1:13" x14ac:dyDescent="0.25">
      <c r="A28"/>
      <c r="B28"/>
      <c r="D28"/>
      <c r="E28"/>
      <c r="F28"/>
      <c r="G28"/>
      <c r="H28"/>
      <c r="I28"/>
      <c r="J28"/>
      <c r="K28"/>
      <c r="L28"/>
      <c r="M28"/>
    </row>
    <row r="29" spans="1:13" x14ac:dyDescent="0.25">
      <c r="A29"/>
      <c r="B29"/>
      <c r="D29"/>
      <c r="E29"/>
      <c r="F29"/>
      <c r="G29"/>
      <c r="H29"/>
      <c r="I29"/>
      <c r="J29"/>
      <c r="K29"/>
      <c r="L29"/>
      <c r="M29"/>
    </row>
    <row r="30" spans="1:13" x14ac:dyDescent="0.25">
      <c r="A30"/>
      <c r="B30"/>
      <c r="D30"/>
      <c r="E30"/>
      <c r="F30"/>
      <c r="G30"/>
      <c r="H30"/>
      <c r="I30"/>
      <c r="J30"/>
      <c r="K30"/>
      <c r="L30"/>
      <c r="M30"/>
    </row>
    <row r="31" spans="1:13" x14ac:dyDescent="0.25">
      <c r="A31"/>
      <c r="B31"/>
      <c r="D31"/>
      <c r="E31"/>
      <c r="F31"/>
      <c r="G31"/>
      <c r="H31"/>
      <c r="I31"/>
      <c r="J31"/>
      <c r="K31"/>
      <c r="L31"/>
      <c r="M31"/>
    </row>
    <row r="32" spans="1:13" x14ac:dyDescent="0.25">
      <c r="A32"/>
      <c r="B32"/>
      <c r="D32"/>
      <c r="E32"/>
      <c r="F32"/>
      <c r="G32"/>
      <c r="H32"/>
      <c r="I32"/>
      <c r="J32"/>
      <c r="K32"/>
      <c r="L32"/>
      <c r="M32"/>
    </row>
    <row r="33" spans="1:13" x14ac:dyDescent="0.25">
      <c r="A33"/>
      <c r="B33"/>
      <c r="D33"/>
      <c r="E33"/>
      <c r="F33"/>
      <c r="G33"/>
      <c r="H33"/>
      <c r="I33"/>
      <c r="J33"/>
      <c r="K33"/>
      <c r="L33"/>
      <c r="M33"/>
    </row>
    <row r="34" spans="1:13" x14ac:dyDescent="0.25">
      <c r="A34"/>
      <c r="B34"/>
      <c r="D34"/>
      <c r="E34"/>
      <c r="F34"/>
      <c r="G34"/>
      <c r="H34"/>
      <c r="I34"/>
      <c r="J34"/>
      <c r="K34"/>
      <c r="L34"/>
      <c r="M34"/>
    </row>
    <row r="35" spans="1:13" x14ac:dyDescent="0.25">
      <c r="A35"/>
      <c r="B35"/>
      <c r="D35"/>
      <c r="E35"/>
      <c r="F35"/>
      <c r="G35"/>
      <c r="H35"/>
      <c r="I35"/>
      <c r="J35"/>
      <c r="K35"/>
      <c r="L35"/>
      <c r="M35"/>
    </row>
    <row r="36" spans="1:13" x14ac:dyDescent="0.25">
      <c r="A36"/>
      <c r="B36"/>
      <c r="D36"/>
      <c r="E36"/>
      <c r="F36"/>
      <c r="G36"/>
      <c r="H36"/>
      <c r="I36"/>
      <c r="J36"/>
      <c r="K36"/>
      <c r="L36"/>
      <c r="M36"/>
    </row>
    <row r="37" spans="1:13" x14ac:dyDescent="0.25">
      <c r="A37"/>
      <c r="B37"/>
      <c r="D37"/>
      <c r="E37"/>
      <c r="F37"/>
      <c r="G37"/>
      <c r="H37"/>
      <c r="I37"/>
      <c r="J37"/>
      <c r="K37"/>
      <c r="L37"/>
      <c r="M37"/>
    </row>
    <row r="38" spans="1:13" x14ac:dyDescent="0.25">
      <c r="A38"/>
      <c r="B38"/>
      <c r="D38"/>
      <c r="E38"/>
      <c r="F38"/>
      <c r="G38"/>
      <c r="H38"/>
      <c r="I38"/>
      <c r="J38"/>
      <c r="K38"/>
      <c r="L38"/>
      <c r="M38"/>
    </row>
    <row r="39" spans="1:13" x14ac:dyDescent="0.25">
      <c r="A39"/>
      <c r="B39"/>
      <c r="D39"/>
      <c r="E39"/>
      <c r="F39"/>
      <c r="G39"/>
      <c r="H39"/>
      <c r="I39"/>
      <c r="J39"/>
      <c r="K39"/>
      <c r="L39"/>
      <c r="M39"/>
    </row>
    <row r="40" spans="1:13" x14ac:dyDescent="0.25">
      <c r="A40"/>
      <c r="B40"/>
      <c r="D40"/>
      <c r="E40"/>
      <c r="F40"/>
      <c r="G40"/>
      <c r="H40"/>
      <c r="I40"/>
      <c r="J40"/>
      <c r="K40"/>
      <c r="L40"/>
      <c r="M40"/>
    </row>
    <row r="41" spans="1:13" x14ac:dyDescent="0.25">
      <c r="A41"/>
      <c r="B41"/>
      <c r="D41"/>
      <c r="E41"/>
      <c r="F41"/>
      <c r="G41"/>
      <c r="H41"/>
      <c r="I41"/>
      <c r="J41"/>
      <c r="K41"/>
      <c r="L41"/>
      <c r="M41"/>
    </row>
    <row r="42" spans="1:13" x14ac:dyDescent="0.25">
      <c r="A42"/>
      <c r="B42"/>
      <c r="D42"/>
      <c r="E42"/>
      <c r="F42"/>
      <c r="G42"/>
      <c r="H42"/>
      <c r="I42"/>
      <c r="J42"/>
      <c r="K42"/>
      <c r="L42"/>
      <c r="M42"/>
    </row>
    <row r="43" spans="1:13" x14ac:dyDescent="0.25">
      <c r="A43"/>
      <c r="B43"/>
      <c r="D43"/>
      <c r="E43"/>
      <c r="F43"/>
      <c r="G43"/>
      <c r="H43"/>
      <c r="I43"/>
      <c r="J43"/>
      <c r="K43"/>
      <c r="L43"/>
      <c r="M43"/>
    </row>
    <row r="44" spans="1:13" x14ac:dyDescent="0.25">
      <c r="A44"/>
      <c r="B44"/>
      <c r="D44"/>
      <c r="E44"/>
      <c r="F44"/>
      <c r="G44"/>
      <c r="H44"/>
      <c r="I44"/>
      <c r="J44"/>
      <c r="K44"/>
      <c r="L44"/>
      <c r="M44"/>
    </row>
    <row r="45" spans="1:13" x14ac:dyDescent="0.25">
      <c r="A45"/>
      <c r="B45"/>
      <c r="D45"/>
      <c r="E45"/>
      <c r="F45"/>
      <c r="G45"/>
      <c r="H45"/>
      <c r="I45"/>
      <c r="J45"/>
      <c r="K45"/>
      <c r="L45"/>
      <c r="M45"/>
    </row>
    <row r="46" spans="1:13" x14ac:dyDescent="0.25">
      <c r="A46"/>
      <c r="B46"/>
      <c r="D46"/>
      <c r="E46"/>
      <c r="F46"/>
      <c r="G46"/>
      <c r="H46"/>
      <c r="I46"/>
      <c r="J46"/>
      <c r="K46"/>
      <c r="L46"/>
      <c r="M46"/>
    </row>
    <row r="47" spans="1:13" x14ac:dyDescent="0.25">
      <c r="A47"/>
      <c r="B47"/>
      <c r="D47"/>
      <c r="E47"/>
      <c r="F47"/>
      <c r="G47"/>
      <c r="H47"/>
      <c r="I47"/>
      <c r="J47"/>
      <c r="K47"/>
      <c r="L47"/>
      <c r="M47"/>
    </row>
    <row r="48" spans="1:13" x14ac:dyDescent="0.25">
      <c r="A48"/>
      <c r="B48"/>
      <c r="D48"/>
      <c r="E48"/>
      <c r="F48"/>
      <c r="G48"/>
      <c r="H48"/>
      <c r="I48"/>
      <c r="J48"/>
      <c r="K48"/>
      <c r="L48"/>
      <c r="M48"/>
    </row>
    <row r="49" spans="1:13" x14ac:dyDescent="0.25">
      <c r="A49"/>
      <c r="B49"/>
      <c r="D49"/>
      <c r="E49"/>
      <c r="F49"/>
      <c r="G49"/>
      <c r="H49"/>
      <c r="I49"/>
      <c r="J49"/>
      <c r="K49"/>
      <c r="L49"/>
      <c r="M49"/>
    </row>
    <row r="50" spans="1:13" x14ac:dyDescent="0.25">
      <c r="A50"/>
      <c r="B50"/>
      <c r="D50"/>
      <c r="E50"/>
      <c r="F50"/>
      <c r="G50"/>
      <c r="H50"/>
      <c r="I50"/>
      <c r="J50"/>
      <c r="K50"/>
      <c r="L50"/>
      <c r="M50"/>
    </row>
    <row r="51" spans="1:13" x14ac:dyDescent="0.25">
      <c r="A51"/>
      <c r="B51"/>
      <c r="D51"/>
      <c r="E51"/>
      <c r="F51"/>
      <c r="G51"/>
      <c r="H51"/>
      <c r="I51"/>
      <c r="J51"/>
      <c r="K51"/>
      <c r="L51"/>
      <c r="M51"/>
    </row>
    <row r="52" spans="1:13" x14ac:dyDescent="0.25">
      <c r="A52"/>
      <c r="B52"/>
      <c r="D52"/>
      <c r="E52"/>
      <c r="F52"/>
      <c r="G52"/>
      <c r="H52"/>
      <c r="I52"/>
      <c r="J52"/>
      <c r="K52"/>
      <c r="L52"/>
      <c r="M52"/>
    </row>
    <row r="53" spans="1:13" x14ac:dyDescent="0.25">
      <c r="A53"/>
      <c r="B53"/>
      <c r="D53"/>
      <c r="E53"/>
      <c r="F53"/>
      <c r="G53"/>
      <c r="H53"/>
      <c r="I53"/>
      <c r="J53"/>
      <c r="K53"/>
      <c r="L53"/>
      <c r="M53"/>
    </row>
    <row r="54" spans="1:13" x14ac:dyDescent="0.25">
      <c r="A54"/>
      <c r="B54"/>
      <c r="D54"/>
      <c r="E54"/>
      <c r="F54"/>
      <c r="G54"/>
      <c r="H54"/>
      <c r="I54"/>
      <c r="J54"/>
      <c r="K54"/>
      <c r="L54"/>
      <c r="M54"/>
    </row>
    <row r="55" spans="1:13" x14ac:dyDescent="0.25">
      <c r="A55"/>
      <c r="B55"/>
      <c r="D55"/>
      <c r="E55"/>
      <c r="F55"/>
      <c r="G55"/>
      <c r="H55"/>
      <c r="I55"/>
      <c r="J55"/>
      <c r="K55"/>
      <c r="L55"/>
      <c r="M55"/>
    </row>
    <row r="56" spans="1:13" x14ac:dyDescent="0.25">
      <c r="A56"/>
      <c r="B56"/>
      <c r="D56"/>
      <c r="E56"/>
      <c r="F56"/>
      <c r="G56"/>
      <c r="H56"/>
      <c r="I56"/>
      <c r="J56"/>
      <c r="K56"/>
      <c r="L56"/>
      <c r="M56"/>
    </row>
    <row r="57" spans="1:13" x14ac:dyDescent="0.25">
      <c r="A57"/>
      <c r="B57"/>
      <c r="D57"/>
      <c r="E57"/>
      <c r="F57"/>
      <c r="G57"/>
      <c r="H57"/>
      <c r="I57"/>
      <c r="J57"/>
      <c r="K57"/>
      <c r="L57"/>
      <c r="M57"/>
    </row>
    <row r="58" spans="1:13" x14ac:dyDescent="0.25">
      <c r="A58"/>
      <c r="B58"/>
      <c r="D58"/>
      <c r="E58"/>
      <c r="F58"/>
      <c r="G58"/>
      <c r="H58"/>
      <c r="I58"/>
      <c r="J58"/>
      <c r="K58"/>
      <c r="L58"/>
      <c r="M58"/>
    </row>
    <row r="59" spans="1:13" x14ac:dyDescent="0.25">
      <c r="A59"/>
      <c r="B59"/>
      <c r="D59"/>
      <c r="E59"/>
      <c r="F59"/>
      <c r="G59"/>
      <c r="H59"/>
      <c r="I59"/>
      <c r="J59"/>
      <c r="K59"/>
      <c r="L59"/>
      <c r="M59"/>
    </row>
    <row r="60" spans="1:13" x14ac:dyDescent="0.25">
      <c r="A60"/>
      <c r="B60"/>
      <c r="D60"/>
      <c r="E60"/>
      <c r="F60"/>
      <c r="G60"/>
      <c r="H60"/>
      <c r="I60"/>
      <c r="J60"/>
      <c r="K60"/>
      <c r="L60"/>
      <c r="M60"/>
    </row>
    <row r="61" spans="1:13" x14ac:dyDescent="0.25">
      <c r="A61"/>
      <c r="B61"/>
      <c r="D61"/>
      <c r="E61"/>
      <c r="F61"/>
      <c r="G61"/>
      <c r="H61"/>
      <c r="I61"/>
      <c r="J61"/>
      <c r="K61"/>
      <c r="L61"/>
      <c r="M61"/>
    </row>
    <row r="62" spans="1:13" x14ac:dyDescent="0.25">
      <c r="A62"/>
      <c r="B62"/>
      <c r="D62"/>
      <c r="E62"/>
      <c r="F62"/>
      <c r="G62"/>
      <c r="H62"/>
      <c r="I62"/>
      <c r="J62"/>
      <c r="K62"/>
      <c r="L62"/>
      <c r="M62"/>
    </row>
    <row r="63" spans="1:13" x14ac:dyDescent="0.25">
      <c r="A63"/>
      <c r="B63"/>
      <c r="D63"/>
      <c r="E63"/>
      <c r="F63"/>
      <c r="G63"/>
      <c r="H63"/>
      <c r="I63"/>
      <c r="J63"/>
      <c r="K63"/>
      <c r="L63"/>
      <c r="M63"/>
    </row>
    <row r="64" spans="1:13" x14ac:dyDescent="0.25">
      <c r="A64"/>
      <c r="B64"/>
      <c r="D64"/>
      <c r="E64"/>
      <c r="F64"/>
      <c r="G64"/>
      <c r="H64"/>
      <c r="I64"/>
      <c r="J64"/>
      <c r="K64"/>
      <c r="L64"/>
      <c r="M64"/>
    </row>
    <row r="65" spans="1:13" x14ac:dyDescent="0.25">
      <c r="A65"/>
      <c r="B65"/>
      <c r="D65"/>
      <c r="E65"/>
      <c r="F65"/>
      <c r="G65"/>
      <c r="H65"/>
      <c r="I65"/>
      <c r="J65"/>
      <c r="K65"/>
      <c r="L65"/>
      <c r="M65"/>
    </row>
    <row r="66" spans="1:13" x14ac:dyDescent="0.25">
      <c r="A66"/>
      <c r="B66"/>
      <c r="D66"/>
      <c r="E66"/>
      <c r="F66"/>
      <c r="G66"/>
      <c r="H66"/>
      <c r="I66"/>
      <c r="J66"/>
      <c r="K66"/>
      <c r="L66"/>
      <c r="M66"/>
    </row>
    <row r="67" spans="1:13" x14ac:dyDescent="0.25">
      <c r="A67"/>
      <c r="B67"/>
      <c r="D67"/>
      <c r="E67"/>
      <c r="F67"/>
      <c r="G67"/>
      <c r="H67"/>
      <c r="I67"/>
      <c r="J67"/>
      <c r="K67"/>
      <c r="L67"/>
      <c r="M67"/>
    </row>
    <row r="68" spans="1:13" x14ac:dyDescent="0.25">
      <c r="A68"/>
      <c r="B68"/>
      <c r="D68"/>
      <c r="E68"/>
      <c r="F68"/>
      <c r="G68"/>
      <c r="H68"/>
      <c r="I68"/>
      <c r="J68"/>
      <c r="K68"/>
      <c r="L68"/>
      <c r="M68"/>
    </row>
    <row r="69" spans="1:13" x14ac:dyDescent="0.25">
      <c r="A69"/>
      <c r="B69"/>
      <c r="D69"/>
      <c r="E69"/>
      <c r="F69"/>
      <c r="G69"/>
      <c r="H69"/>
      <c r="I69"/>
      <c r="J69"/>
      <c r="K69"/>
      <c r="L69"/>
      <c r="M69"/>
    </row>
    <row r="70" spans="1:13" x14ac:dyDescent="0.25">
      <c r="A70"/>
      <c r="B70"/>
      <c r="D70"/>
      <c r="E70"/>
      <c r="F70"/>
      <c r="G70"/>
      <c r="H70"/>
      <c r="I70"/>
      <c r="J70"/>
      <c r="K70"/>
      <c r="L70"/>
      <c r="M70"/>
    </row>
    <row r="71" spans="1:13" x14ac:dyDescent="0.25">
      <c r="A71"/>
      <c r="B71"/>
      <c r="D71"/>
      <c r="E71"/>
      <c r="F71"/>
      <c r="G71"/>
      <c r="H71"/>
      <c r="I71"/>
      <c r="J71"/>
      <c r="K71"/>
      <c r="L71"/>
      <c r="M71"/>
    </row>
    <row r="72" spans="1:13" x14ac:dyDescent="0.25">
      <c r="A72"/>
      <c r="B72"/>
      <c r="D72"/>
      <c r="E72"/>
      <c r="F72"/>
      <c r="G72"/>
      <c r="H72"/>
      <c r="I72"/>
      <c r="J72"/>
      <c r="K72"/>
      <c r="L72"/>
      <c r="M72"/>
    </row>
    <row r="73" spans="1:13" x14ac:dyDescent="0.25">
      <c r="A73"/>
      <c r="B73"/>
      <c r="D73"/>
      <c r="E73"/>
      <c r="F73"/>
      <c r="G73"/>
      <c r="H73"/>
      <c r="I73"/>
      <c r="J73"/>
      <c r="K73"/>
      <c r="L73"/>
      <c r="M73"/>
    </row>
    <row r="74" spans="1:13" x14ac:dyDescent="0.25">
      <c r="A74"/>
      <c r="B74"/>
      <c r="D74"/>
      <c r="E74"/>
      <c r="F74"/>
      <c r="G74"/>
      <c r="H74"/>
      <c r="I74"/>
      <c r="J74"/>
      <c r="K74"/>
      <c r="L74"/>
      <c r="M74"/>
    </row>
    <row r="75" spans="1:13" x14ac:dyDescent="0.25">
      <c r="A75"/>
      <c r="B75"/>
      <c r="D75"/>
      <c r="E75"/>
      <c r="F75"/>
      <c r="G75"/>
      <c r="H75"/>
      <c r="I75"/>
      <c r="J75"/>
      <c r="K75"/>
      <c r="L75"/>
      <c r="M75"/>
    </row>
    <row r="76" spans="1:13" x14ac:dyDescent="0.25">
      <c r="A76"/>
      <c r="B76"/>
      <c r="D76"/>
      <c r="E76"/>
      <c r="F76"/>
      <c r="G76"/>
      <c r="H76"/>
      <c r="I76"/>
      <c r="J76"/>
      <c r="K76"/>
      <c r="L76"/>
      <c r="M76"/>
    </row>
    <row r="77" spans="1:13" x14ac:dyDescent="0.25">
      <c r="A77"/>
      <c r="B77"/>
      <c r="D77"/>
      <c r="E77"/>
      <c r="F77"/>
      <c r="G77"/>
      <c r="H77"/>
      <c r="I77"/>
      <c r="J77"/>
      <c r="K77"/>
      <c r="L77"/>
      <c r="M77"/>
    </row>
    <row r="78" spans="1:13" x14ac:dyDescent="0.25">
      <c r="A78"/>
      <c r="B78"/>
      <c r="D78"/>
      <c r="E78"/>
      <c r="F78"/>
      <c r="G78"/>
      <c r="H78"/>
      <c r="I78"/>
      <c r="J78"/>
      <c r="K78"/>
      <c r="L78"/>
      <c r="M78"/>
    </row>
    <row r="79" spans="1:13" x14ac:dyDescent="0.25">
      <c r="A79"/>
      <c r="B79"/>
      <c r="D79"/>
      <c r="E79"/>
      <c r="F79"/>
      <c r="G79"/>
      <c r="H79"/>
      <c r="I79"/>
      <c r="J79"/>
      <c r="K79"/>
      <c r="L79"/>
      <c r="M79"/>
    </row>
    <row r="80" spans="1:13" x14ac:dyDescent="0.25">
      <c r="A80"/>
      <c r="B80"/>
      <c r="D80"/>
      <c r="E80"/>
      <c r="F80"/>
      <c r="G80"/>
      <c r="H80"/>
      <c r="I80"/>
      <c r="J80"/>
      <c r="K80"/>
      <c r="L80"/>
      <c r="M80"/>
    </row>
    <row r="81" spans="1:13" x14ac:dyDescent="0.25">
      <c r="A81"/>
      <c r="B81"/>
      <c r="D81"/>
      <c r="E81"/>
      <c r="F81"/>
      <c r="G81"/>
      <c r="H81"/>
      <c r="I81"/>
      <c r="J81"/>
      <c r="K81"/>
      <c r="L81"/>
      <c r="M81"/>
    </row>
    <row r="82" spans="1:13" x14ac:dyDescent="0.25">
      <c r="A82"/>
      <c r="B82"/>
      <c r="D82"/>
      <c r="E82"/>
      <c r="F82"/>
      <c r="G82"/>
      <c r="H82"/>
      <c r="I82"/>
      <c r="J82"/>
      <c r="K82"/>
      <c r="L82"/>
      <c r="M82"/>
    </row>
    <row r="83" spans="1:13" x14ac:dyDescent="0.25">
      <c r="A83"/>
      <c r="B83"/>
      <c r="D83"/>
      <c r="E83"/>
      <c r="F83"/>
      <c r="G83"/>
      <c r="H83"/>
      <c r="I83"/>
      <c r="J83"/>
      <c r="K83"/>
      <c r="L83"/>
      <c r="M83"/>
    </row>
    <row r="84" spans="1:13" x14ac:dyDescent="0.25">
      <c r="A84"/>
      <c r="B84"/>
      <c r="D84"/>
      <c r="E84"/>
      <c r="F84"/>
      <c r="G84"/>
      <c r="H84"/>
      <c r="I84"/>
      <c r="J84"/>
      <c r="K84"/>
      <c r="L84"/>
      <c r="M84"/>
    </row>
    <row r="85" spans="1:13" x14ac:dyDescent="0.25">
      <c r="A85"/>
      <c r="B85"/>
      <c r="D85"/>
      <c r="E85"/>
      <c r="F85"/>
      <c r="G85"/>
      <c r="H85"/>
      <c r="I85"/>
      <c r="J85"/>
      <c r="K85"/>
      <c r="L85"/>
      <c r="M85"/>
    </row>
    <row r="86" spans="1:13" x14ac:dyDescent="0.25">
      <c r="A86"/>
      <c r="B86"/>
      <c r="D86"/>
      <c r="E86"/>
      <c r="F86"/>
      <c r="G86"/>
      <c r="H86"/>
      <c r="I86"/>
      <c r="J86"/>
      <c r="K86"/>
      <c r="L86"/>
      <c r="M86"/>
    </row>
    <row r="87" spans="1:13" x14ac:dyDescent="0.25">
      <c r="A87"/>
      <c r="B87"/>
      <c r="D87"/>
      <c r="E87"/>
      <c r="F87"/>
      <c r="G87"/>
      <c r="H87"/>
      <c r="I87"/>
      <c r="J87"/>
      <c r="K87"/>
      <c r="L87"/>
      <c r="M87"/>
    </row>
    <row r="88" spans="1:13" x14ac:dyDescent="0.25">
      <c r="A88"/>
      <c r="B88"/>
      <c r="D88"/>
      <c r="E88"/>
      <c r="F88"/>
      <c r="G88"/>
      <c r="H88"/>
      <c r="I88"/>
      <c r="J88"/>
      <c r="K88"/>
      <c r="L88"/>
      <c r="M88"/>
    </row>
    <row r="89" spans="1:13" x14ac:dyDescent="0.25">
      <c r="A89"/>
      <c r="B89"/>
      <c r="D89"/>
      <c r="E89"/>
      <c r="F89"/>
      <c r="G89"/>
      <c r="H89"/>
      <c r="I89"/>
      <c r="J89"/>
      <c r="K89"/>
      <c r="L89"/>
      <c r="M89"/>
    </row>
    <row r="90" spans="1:13" x14ac:dyDescent="0.25">
      <c r="A90"/>
      <c r="B90"/>
      <c r="D90"/>
      <c r="E90"/>
      <c r="F90"/>
      <c r="G90"/>
      <c r="H90"/>
      <c r="I90"/>
      <c r="J90"/>
      <c r="K90"/>
      <c r="L90"/>
      <c r="M90"/>
    </row>
    <row r="91" spans="1:13" x14ac:dyDescent="0.25">
      <c r="A91"/>
      <c r="B91"/>
      <c r="D91"/>
      <c r="E91"/>
      <c r="F91"/>
      <c r="G91"/>
      <c r="H91"/>
      <c r="I91"/>
      <c r="J91"/>
      <c r="K91"/>
      <c r="L91"/>
      <c r="M91"/>
    </row>
    <row r="92" spans="1:13" x14ac:dyDescent="0.25">
      <c r="A92"/>
      <c r="B92"/>
      <c r="D92"/>
      <c r="E92"/>
      <c r="F92"/>
      <c r="G92"/>
      <c r="H92"/>
      <c r="I92"/>
      <c r="J92"/>
      <c r="K92"/>
      <c r="L92"/>
      <c r="M92"/>
    </row>
    <row r="93" spans="1:13" x14ac:dyDescent="0.25">
      <c r="A93"/>
      <c r="B93"/>
      <c r="D93"/>
      <c r="E93"/>
      <c r="F93"/>
      <c r="G93"/>
      <c r="H93"/>
      <c r="I93"/>
      <c r="J93"/>
      <c r="K93"/>
      <c r="L93"/>
      <c r="M93"/>
    </row>
    <row r="94" spans="1:13" x14ac:dyDescent="0.25">
      <c r="A94"/>
      <c r="B94"/>
      <c r="D94"/>
      <c r="E94"/>
      <c r="F94"/>
      <c r="G94"/>
      <c r="H94"/>
      <c r="I94"/>
      <c r="J94"/>
      <c r="K94"/>
      <c r="L94"/>
      <c r="M94"/>
    </row>
    <row r="95" spans="1:13" x14ac:dyDescent="0.25">
      <c r="A95"/>
      <c r="B95"/>
      <c r="D95"/>
      <c r="E95"/>
      <c r="F95"/>
      <c r="G95"/>
      <c r="H95"/>
      <c r="I95"/>
      <c r="J95"/>
      <c r="K95"/>
      <c r="L95"/>
      <c r="M95"/>
    </row>
    <row r="96" spans="1:13" x14ac:dyDescent="0.25">
      <c r="A96"/>
      <c r="B96"/>
      <c r="D96"/>
      <c r="E96"/>
      <c r="F96"/>
      <c r="G96"/>
      <c r="H96"/>
      <c r="I96"/>
      <c r="J96"/>
      <c r="K96"/>
      <c r="L96"/>
      <c r="M96"/>
    </row>
    <row r="97" spans="1:13" x14ac:dyDescent="0.25">
      <c r="A97"/>
      <c r="B97"/>
      <c r="D97"/>
      <c r="E97"/>
      <c r="F97"/>
      <c r="G97"/>
      <c r="H97"/>
      <c r="I97"/>
      <c r="J97"/>
      <c r="K97"/>
      <c r="L97"/>
      <c r="M97"/>
    </row>
    <row r="98" spans="1:13" x14ac:dyDescent="0.25">
      <c r="A98"/>
      <c r="B98"/>
      <c r="D98"/>
      <c r="E98"/>
      <c r="F98"/>
      <c r="G98"/>
      <c r="H98"/>
      <c r="I98"/>
      <c r="J98"/>
      <c r="K98"/>
      <c r="L98"/>
      <c r="M98"/>
    </row>
    <row r="99" spans="1:13" x14ac:dyDescent="0.25">
      <c r="A99"/>
      <c r="B99"/>
      <c r="D99"/>
      <c r="E99"/>
      <c r="F99"/>
      <c r="G99"/>
      <c r="H99"/>
      <c r="I99"/>
      <c r="J99"/>
      <c r="K99"/>
      <c r="L99"/>
      <c r="M99"/>
    </row>
    <row r="100" spans="1:13" x14ac:dyDescent="0.25">
      <c r="A100"/>
      <c r="B100"/>
      <c r="D100"/>
      <c r="E100"/>
      <c r="F100"/>
      <c r="G100"/>
      <c r="H100"/>
      <c r="I100"/>
      <c r="J100"/>
      <c r="K100"/>
      <c r="L100"/>
      <c r="M100"/>
    </row>
    <row r="101" spans="1:13" x14ac:dyDescent="0.25">
      <c r="A101"/>
      <c r="B101"/>
      <c r="D101"/>
      <c r="E101"/>
      <c r="F101"/>
      <c r="G101"/>
      <c r="H101"/>
      <c r="I101"/>
      <c r="J101"/>
      <c r="K101"/>
      <c r="L101"/>
      <c r="M101"/>
    </row>
    <row r="102" spans="1:13" x14ac:dyDescent="0.25">
      <c r="A102"/>
      <c r="B102"/>
      <c r="D102"/>
      <c r="E102"/>
      <c r="F102"/>
      <c r="G102"/>
      <c r="H102"/>
      <c r="I102"/>
      <c r="J102"/>
      <c r="K102"/>
      <c r="L102"/>
      <c r="M102"/>
    </row>
    <row r="103" spans="1:13" x14ac:dyDescent="0.25">
      <c r="A103"/>
      <c r="B103"/>
      <c r="D103"/>
      <c r="E103"/>
      <c r="F103"/>
      <c r="G103"/>
      <c r="H103"/>
      <c r="I103"/>
      <c r="J103"/>
      <c r="K103"/>
      <c r="L103"/>
      <c r="M103"/>
    </row>
    <row r="104" spans="1:13" x14ac:dyDescent="0.25">
      <c r="A104"/>
      <c r="B104"/>
      <c r="D104"/>
      <c r="E104"/>
      <c r="F104"/>
      <c r="G104"/>
      <c r="H104"/>
      <c r="I104"/>
      <c r="J104"/>
      <c r="K104"/>
      <c r="L104"/>
      <c r="M104"/>
    </row>
    <row r="105" spans="1:13" x14ac:dyDescent="0.25">
      <c r="A105"/>
      <c r="B105"/>
      <c r="D105"/>
      <c r="E105"/>
      <c r="F105"/>
      <c r="G105"/>
      <c r="H105"/>
      <c r="I105"/>
      <c r="J105"/>
      <c r="K105"/>
      <c r="L105"/>
      <c r="M105"/>
    </row>
    <row r="106" spans="1:13" x14ac:dyDescent="0.25">
      <c r="A106"/>
      <c r="B106"/>
      <c r="D106"/>
      <c r="E106"/>
      <c r="F106"/>
      <c r="G106"/>
      <c r="H106"/>
      <c r="I106"/>
      <c r="J106"/>
      <c r="K106"/>
      <c r="L106"/>
      <c r="M106"/>
    </row>
    <row r="107" spans="1:13" x14ac:dyDescent="0.25">
      <c r="A107"/>
      <c r="B107"/>
      <c r="D107"/>
      <c r="E107"/>
      <c r="F107"/>
      <c r="G107"/>
      <c r="H107"/>
      <c r="I107"/>
      <c r="J107"/>
      <c r="K107"/>
      <c r="L107"/>
      <c r="M107"/>
    </row>
    <row r="108" spans="1:13" x14ac:dyDescent="0.25">
      <c r="A108"/>
      <c r="B108"/>
      <c r="D108"/>
      <c r="E108"/>
      <c r="F108"/>
      <c r="G108"/>
      <c r="H108"/>
      <c r="I108"/>
      <c r="J108"/>
      <c r="K108"/>
      <c r="L108"/>
      <c r="M108"/>
    </row>
    <row r="109" spans="1:13" x14ac:dyDescent="0.25">
      <c r="A109"/>
      <c r="B109"/>
      <c r="D109"/>
      <c r="E109"/>
      <c r="F109"/>
      <c r="G109"/>
      <c r="H109"/>
      <c r="I109"/>
      <c r="J109"/>
      <c r="K109"/>
      <c r="L109"/>
      <c r="M109"/>
    </row>
    <row r="110" spans="1:13" x14ac:dyDescent="0.25">
      <c r="A110"/>
      <c r="B110"/>
      <c r="D110"/>
      <c r="E110"/>
      <c r="F110"/>
      <c r="G110"/>
      <c r="H110"/>
      <c r="I110"/>
      <c r="J110"/>
      <c r="K110"/>
      <c r="L110"/>
      <c r="M110"/>
    </row>
    <row r="111" spans="1:13" x14ac:dyDescent="0.25">
      <c r="A111"/>
      <c r="B111"/>
      <c r="D111"/>
      <c r="E111"/>
      <c r="F111"/>
      <c r="G111"/>
      <c r="H111"/>
      <c r="I111"/>
      <c r="J111"/>
      <c r="K111"/>
      <c r="L111"/>
      <c r="M111"/>
    </row>
    <row r="112" spans="1:13" x14ac:dyDescent="0.25">
      <c r="A112"/>
      <c r="B112"/>
      <c r="D112"/>
      <c r="E112"/>
      <c r="F112"/>
      <c r="G112"/>
      <c r="H112"/>
      <c r="I112"/>
      <c r="J112"/>
      <c r="K112"/>
      <c r="L112"/>
      <c r="M112"/>
    </row>
    <row r="113" spans="1:13" x14ac:dyDescent="0.25">
      <c r="A113"/>
      <c r="B113"/>
      <c r="D113"/>
      <c r="E113"/>
      <c r="F113"/>
      <c r="G113"/>
      <c r="H113"/>
      <c r="I113"/>
      <c r="J113"/>
      <c r="K113"/>
      <c r="L113"/>
      <c r="M113"/>
    </row>
    <row r="114" spans="1:13" x14ac:dyDescent="0.25">
      <c r="A114"/>
      <c r="B114"/>
      <c r="D114"/>
      <c r="E114"/>
      <c r="F114"/>
      <c r="G114"/>
      <c r="H114"/>
      <c r="I114"/>
      <c r="J114"/>
      <c r="K114"/>
      <c r="L114"/>
      <c r="M114"/>
    </row>
    <row r="115" spans="1:13" x14ac:dyDescent="0.25">
      <c r="A115"/>
      <c r="B115"/>
      <c r="D115"/>
      <c r="E115"/>
      <c r="F115"/>
      <c r="G115"/>
      <c r="H115"/>
      <c r="I115"/>
      <c r="J115"/>
      <c r="K115"/>
      <c r="L115"/>
      <c r="M115"/>
    </row>
    <row r="116" spans="1:13" x14ac:dyDescent="0.25">
      <c r="A116"/>
      <c r="B116"/>
      <c r="D116"/>
      <c r="E116"/>
      <c r="F116"/>
      <c r="G116"/>
      <c r="H116"/>
      <c r="I116"/>
      <c r="J116"/>
      <c r="K116"/>
      <c r="L116"/>
      <c r="M116"/>
    </row>
    <row r="117" spans="1:13" x14ac:dyDescent="0.25">
      <c r="A117"/>
      <c r="B117"/>
      <c r="D117"/>
      <c r="E117"/>
      <c r="F117"/>
      <c r="G117"/>
      <c r="H117"/>
      <c r="I117"/>
      <c r="J117"/>
      <c r="K117"/>
      <c r="L117"/>
      <c r="M117"/>
    </row>
    <row r="118" spans="1:13" x14ac:dyDescent="0.25">
      <c r="A118"/>
      <c r="B118"/>
      <c r="D118"/>
      <c r="E118"/>
      <c r="F118"/>
      <c r="G118"/>
      <c r="H118"/>
      <c r="I118"/>
      <c r="J118"/>
      <c r="K118"/>
      <c r="L118"/>
      <c r="M118"/>
    </row>
    <row r="119" spans="1:13" x14ac:dyDescent="0.25">
      <c r="A119"/>
      <c r="B119"/>
      <c r="D119"/>
      <c r="E119"/>
      <c r="F119"/>
      <c r="G119"/>
      <c r="H119"/>
      <c r="I119"/>
      <c r="J119"/>
      <c r="K119"/>
      <c r="L119"/>
      <c r="M119"/>
    </row>
    <row r="120" spans="1:13" x14ac:dyDescent="0.25">
      <c r="A120"/>
      <c r="B120"/>
      <c r="D120"/>
      <c r="E120"/>
      <c r="F120"/>
      <c r="G120"/>
      <c r="H120"/>
      <c r="I120"/>
      <c r="J120"/>
      <c r="K120"/>
      <c r="L120"/>
      <c r="M120"/>
    </row>
    <row r="121" spans="1:13" x14ac:dyDescent="0.25">
      <c r="A121"/>
      <c r="B121"/>
      <c r="D121"/>
      <c r="E121"/>
      <c r="F121"/>
      <c r="G121"/>
      <c r="H121"/>
      <c r="I121"/>
      <c r="J121"/>
      <c r="K121"/>
      <c r="L121"/>
      <c r="M121"/>
    </row>
    <row r="122" spans="1:13" x14ac:dyDescent="0.25">
      <c r="A122"/>
      <c r="B122"/>
      <c r="D122"/>
      <c r="E122"/>
      <c r="F122"/>
      <c r="G122"/>
      <c r="H122"/>
      <c r="I122"/>
      <c r="J122"/>
      <c r="K122"/>
      <c r="L122"/>
      <c r="M122"/>
    </row>
    <row r="123" spans="1:13" x14ac:dyDescent="0.25">
      <c r="A123"/>
      <c r="B123"/>
      <c r="D123"/>
      <c r="E123"/>
      <c r="F123"/>
      <c r="G123"/>
      <c r="H123"/>
      <c r="I123"/>
      <c r="J123"/>
      <c r="K123"/>
      <c r="L123"/>
      <c r="M123"/>
    </row>
    <row r="124" spans="1:13" x14ac:dyDescent="0.25">
      <c r="A124"/>
      <c r="B124"/>
      <c r="D124"/>
      <c r="E124"/>
      <c r="F124"/>
      <c r="G124"/>
      <c r="H124"/>
      <c r="I124"/>
      <c r="J124"/>
      <c r="K124"/>
      <c r="L124"/>
      <c r="M124"/>
    </row>
    <row r="125" spans="1:13" x14ac:dyDescent="0.25">
      <c r="A125"/>
      <c r="B125"/>
      <c r="D125"/>
      <c r="E125"/>
      <c r="F125"/>
      <c r="G125"/>
      <c r="H125"/>
      <c r="I125"/>
      <c r="J125"/>
      <c r="K125"/>
      <c r="L125"/>
      <c r="M125"/>
    </row>
    <row r="126" spans="1:13" x14ac:dyDescent="0.25">
      <c r="A126"/>
      <c r="B126"/>
      <c r="D126"/>
      <c r="E126"/>
      <c r="F126"/>
      <c r="G126"/>
      <c r="H126"/>
      <c r="I126"/>
      <c r="J126"/>
      <c r="K126"/>
      <c r="L126"/>
      <c r="M126"/>
    </row>
    <row r="127" spans="1:13" x14ac:dyDescent="0.25">
      <c r="A127"/>
      <c r="B127"/>
      <c r="D127"/>
      <c r="E127"/>
      <c r="F127"/>
      <c r="G127"/>
      <c r="H127"/>
      <c r="I127"/>
      <c r="J127"/>
      <c r="K127"/>
      <c r="L127"/>
      <c r="M127"/>
    </row>
    <row r="128" spans="1:13" x14ac:dyDescent="0.25">
      <c r="A128"/>
      <c r="B128"/>
      <c r="D128"/>
      <c r="E128"/>
      <c r="F128"/>
      <c r="G128"/>
      <c r="H128"/>
      <c r="I128"/>
      <c r="J128"/>
      <c r="K128"/>
      <c r="L128"/>
      <c r="M128"/>
    </row>
    <row r="129" spans="1:13" x14ac:dyDescent="0.25">
      <c r="A129"/>
      <c r="B129"/>
      <c r="D129"/>
      <c r="E129"/>
      <c r="F129"/>
      <c r="G129"/>
      <c r="H129"/>
      <c r="I129"/>
      <c r="J129"/>
      <c r="K129"/>
      <c r="L129"/>
      <c r="M129"/>
    </row>
    <row r="130" spans="1:13" x14ac:dyDescent="0.25">
      <c r="A130"/>
      <c r="B130"/>
      <c r="D130"/>
      <c r="E130"/>
      <c r="F130"/>
      <c r="G130"/>
      <c r="H130"/>
      <c r="I130"/>
      <c r="J130"/>
      <c r="K130"/>
      <c r="L130"/>
      <c r="M130"/>
    </row>
    <row r="131" spans="1:13" x14ac:dyDescent="0.25">
      <c r="A131"/>
      <c r="B131"/>
      <c r="D131"/>
      <c r="E131"/>
      <c r="F131"/>
      <c r="G131"/>
      <c r="H131"/>
      <c r="I131"/>
      <c r="J131"/>
      <c r="K131"/>
      <c r="L131"/>
      <c r="M131"/>
    </row>
    <row r="132" spans="1:13" x14ac:dyDescent="0.25">
      <c r="A132"/>
      <c r="B132"/>
      <c r="D132"/>
      <c r="E132"/>
      <c r="F132"/>
      <c r="G132"/>
      <c r="H132"/>
      <c r="I132"/>
      <c r="J132"/>
      <c r="K132"/>
      <c r="L132"/>
      <c r="M132"/>
    </row>
    <row r="133" spans="1:13" x14ac:dyDescent="0.25">
      <c r="A133"/>
      <c r="B133"/>
      <c r="D133"/>
      <c r="E133"/>
      <c r="F133"/>
      <c r="G133"/>
      <c r="H133"/>
      <c r="I133"/>
      <c r="J133"/>
      <c r="K133"/>
      <c r="L133"/>
      <c r="M133"/>
    </row>
    <row r="134" spans="1:13" x14ac:dyDescent="0.25">
      <c r="A134"/>
      <c r="B134"/>
      <c r="D134"/>
      <c r="E134"/>
      <c r="F134"/>
      <c r="G134"/>
      <c r="H134"/>
      <c r="I134"/>
      <c r="J134"/>
      <c r="K134"/>
      <c r="L134"/>
      <c r="M134"/>
    </row>
    <row r="135" spans="1:13" x14ac:dyDescent="0.25">
      <c r="A135"/>
      <c r="B135"/>
      <c r="D135"/>
      <c r="E135"/>
      <c r="F135"/>
      <c r="G135"/>
      <c r="H135"/>
      <c r="I135"/>
      <c r="J135"/>
      <c r="K135"/>
      <c r="L135"/>
      <c r="M135"/>
    </row>
    <row r="136" spans="1:13" x14ac:dyDescent="0.25">
      <c r="A136"/>
      <c r="B136"/>
      <c r="D136"/>
      <c r="E136"/>
      <c r="F136"/>
      <c r="G136"/>
      <c r="H136"/>
      <c r="I136"/>
      <c r="J136"/>
      <c r="K136"/>
      <c r="L136"/>
      <c r="M136"/>
    </row>
    <row r="137" spans="1:13" x14ac:dyDescent="0.25">
      <c r="A137"/>
      <c r="B137"/>
      <c r="D137"/>
      <c r="E137"/>
      <c r="F137"/>
      <c r="G137"/>
      <c r="H137"/>
      <c r="I137"/>
      <c r="J137"/>
      <c r="K137"/>
      <c r="L137"/>
      <c r="M137"/>
    </row>
    <row r="138" spans="1:13" x14ac:dyDescent="0.25">
      <c r="A138"/>
      <c r="B138"/>
      <c r="D138"/>
      <c r="E138"/>
      <c r="F138"/>
      <c r="G138"/>
      <c r="H138"/>
      <c r="I138"/>
      <c r="J138"/>
      <c r="K138"/>
      <c r="L138"/>
      <c r="M138"/>
    </row>
    <row r="139" spans="1:13" x14ac:dyDescent="0.25">
      <c r="A139"/>
      <c r="B139"/>
      <c r="D139"/>
      <c r="E139"/>
      <c r="F139"/>
      <c r="G139"/>
      <c r="H139"/>
      <c r="I139"/>
      <c r="J139"/>
      <c r="K139"/>
      <c r="L139"/>
      <c r="M139"/>
    </row>
    <row r="140" spans="1:13" x14ac:dyDescent="0.25">
      <c r="A140"/>
      <c r="B140"/>
      <c r="D140"/>
      <c r="E140"/>
      <c r="F140"/>
      <c r="G140"/>
      <c r="H140"/>
      <c r="I140"/>
      <c r="J140"/>
      <c r="K140"/>
      <c r="L140"/>
      <c r="M140"/>
    </row>
    <row r="141" spans="1:13" x14ac:dyDescent="0.25">
      <c r="A141"/>
      <c r="B141"/>
      <c r="D141"/>
      <c r="E141"/>
      <c r="F141"/>
      <c r="G141"/>
      <c r="H141"/>
      <c r="I141"/>
      <c r="J141"/>
      <c r="K141"/>
      <c r="L141"/>
      <c r="M141"/>
    </row>
    <row r="142" spans="1:13" x14ac:dyDescent="0.25">
      <c r="A142"/>
      <c r="B142"/>
      <c r="D142"/>
      <c r="E142"/>
      <c r="F142"/>
      <c r="G142"/>
      <c r="H142"/>
      <c r="I142"/>
      <c r="J142"/>
      <c r="K142"/>
      <c r="L142"/>
      <c r="M142"/>
    </row>
    <row r="143" spans="1:13" x14ac:dyDescent="0.25">
      <c r="A143"/>
      <c r="B143"/>
      <c r="D143"/>
      <c r="E143"/>
      <c r="F143"/>
      <c r="G143"/>
      <c r="H143"/>
      <c r="I143"/>
      <c r="J143"/>
      <c r="K143"/>
      <c r="L143"/>
      <c r="M143"/>
    </row>
    <row r="144" spans="1:13" x14ac:dyDescent="0.25">
      <c r="A144"/>
      <c r="B144"/>
      <c r="D144"/>
      <c r="E144"/>
      <c r="F144"/>
      <c r="G144"/>
      <c r="H144"/>
      <c r="I144"/>
      <c r="J144"/>
      <c r="K144"/>
      <c r="L144"/>
      <c r="M144"/>
    </row>
    <row r="145" spans="1:13" x14ac:dyDescent="0.25">
      <c r="A145"/>
      <c r="B145"/>
      <c r="D145"/>
      <c r="E145"/>
      <c r="F145"/>
      <c r="G145"/>
      <c r="H145"/>
      <c r="I145"/>
      <c r="J145"/>
      <c r="K145"/>
      <c r="L145"/>
      <c r="M145"/>
    </row>
    <row r="146" spans="1:13" x14ac:dyDescent="0.25">
      <c r="A146"/>
      <c r="B146"/>
      <c r="D146"/>
      <c r="E146"/>
      <c r="F146"/>
      <c r="G146"/>
      <c r="H146"/>
      <c r="I146"/>
      <c r="J146"/>
      <c r="K146"/>
      <c r="L146"/>
      <c r="M146"/>
    </row>
    <row r="147" spans="1:13" x14ac:dyDescent="0.25">
      <c r="A147"/>
      <c r="B147"/>
      <c r="D147"/>
      <c r="E147"/>
      <c r="F147"/>
      <c r="G147"/>
      <c r="H147"/>
      <c r="I147"/>
      <c r="J147"/>
      <c r="K147"/>
      <c r="L147"/>
      <c r="M147"/>
    </row>
    <row r="148" spans="1:13" x14ac:dyDescent="0.25">
      <c r="A148"/>
      <c r="B148"/>
      <c r="D148"/>
      <c r="E148"/>
      <c r="F148"/>
      <c r="G148"/>
      <c r="H148"/>
      <c r="I148"/>
      <c r="J148"/>
      <c r="K148"/>
      <c r="L148"/>
      <c r="M148"/>
    </row>
    <row r="149" spans="1:13" x14ac:dyDescent="0.25">
      <c r="A149"/>
      <c r="B149"/>
      <c r="D149"/>
      <c r="E149"/>
      <c r="F149"/>
      <c r="G149"/>
      <c r="H149"/>
      <c r="I149"/>
      <c r="J149"/>
      <c r="K149"/>
      <c r="L149"/>
      <c r="M149"/>
    </row>
    <row r="150" spans="1:13" x14ac:dyDescent="0.25">
      <c r="A150"/>
      <c r="B150"/>
      <c r="D150"/>
      <c r="E150"/>
      <c r="F150"/>
      <c r="G150"/>
      <c r="H150"/>
      <c r="I150"/>
      <c r="J150"/>
      <c r="K150"/>
      <c r="L150"/>
      <c r="M150"/>
    </row>
    <row r="151" spans="1:13" x14ac:dyDescent="0.25">
      <c r="A151"/>
      <c r="B151"/>
      <c r="D151"/>
      <c r="E151"/>
      <c r="F151"/>
      <c r="G151"/>
      <c r="H151"/>
      <c r="I151"/>
      <c r="J151"/>
      <c r="K151"/>
      <c r="L151"/>
      <c r="M151"/>
    </row>
    <row r="152" spans="1:13" x14ac:dyDescent="0.25">
      <c r="A152"/>
      <c r="B152"/>
      <c r="D152"/>
      <c r="E152"/>
      <c r="F152"/>
      <c r="G152"/>
      <c r="H152"/>
      <c r="I152"/>
      <c r="J152"/>
      <c r="K152"/>
      <c r="L152"/>
      <c r="M152"/>
    </row>
    <row r="153" spans="1:13" x14ac:dyDescent="0.25">
      <c r="A153"/>
      <c r="B153"/>
      <c r="D153"/>
      <c r="E153"/>
      <c r="F153"/>
      <c r="G153"/>
      <c r="H153"/>
      <c r="I153"/>
      <c r="J153"/>
      <c r="K153"/>
      <c r="L153"/>
      <c r="M153"/>
    </row>
    <row r="154" spans="1:13" x14ac:dyDescent="0.25">
      <c r="A154"/>
      <c r="B154"/>
      <c r="D154"/>
      <c r="E154"/>
      <c r="F154"/>
      <c r="G154"/>
      <c r="H154"/>
      <c r="I154"/>
      <c r="J154"/>
      <c r="K154"/>
      <c r="L154"/>
      <c r="M154"/>
    </row>
    <row r="155" spans="1:13" x14ac:dyDescent="0.25">
      <c r="A155"/>
      <c r="B155"/>
      <c r="D155"/>
      <c r="E155"/>
      <c r="F155"/>
      <c r="G155"/>
      <c r="H155"/>
      <c r="I155"/>
      <c r="J155"/>
      <c r="K155"/>
      <c r="L155"/>
      <c r="M155"/>
    </row>
    <row r="156" spans="1:13" x14ac:dyDescent="0.25">
      <c r="A156"/>
      <c r="B156"/>
      <c r="D156"/>
      <c r="E156"/>
      <c r="F156"/>
      <c r="G156"/>
      <c r="H156"/>
      <c r="I156"/>
      <c r="J156"/>
      <c r="K156"/>
      <c r="L156"/>
      <c r="M156"/>
    </row>
    <row r="157" spans="1:13" x14ac:dyDescent="0.25">
      <c r="A157"/>
      <c r="B157"/>
      <c r="D157"/>
      <c r="E157"/>
      <c r="F157"/>
      <c r="G157"/>
      <c r="H157"/>
      <c r="I157"/>
      <c r="J157"/>
      <c r="K157"/>
      <c r="L157"/>
      <c r="M157"/>
    </row>
    <row r="158" spans="1:13" x14ac:dyDescent="0.25">
      <c r="A158"/>
      <c r="B158"/>
      <c r="D158"/>
      <c r="E158"/>
      <c r="F158"/>
      <c r="G158"/>
      <c r="H158"/>
      <c r="I158"/>
      <c r="J158"/>
      <c r="K158"/>
      <c r="L158"/>
      <c r="M158"/>
    </row>
    <row r="159" spans="1:13" x14ac:dyDescent="0.25">
      <c r="A159"/>
      <c r="B159"/>
      <c r="D159"/>
      <c r="E159"/>
      <c r="F159"/>
      <c r="G159"/>
      <c r="H159"/>
      <c r="I159"/>
      <c r="J159"/>
      <c r="K159"/>
      <c r="L159"/>
      <c r="M159"/>
    </row>
    <row r="160" spans="1:13" x14ac:dyDescent="0.25">
      <c r="A160"/>
      <c r="B160"/>
      <c r="D160"/>
      <c r="E160"/>
      <c r="F160"/>
      <c r="G160"/>
      <c r="H160"/>
      <c r="I160"/>
      <c r="J160"/>
      <c r="K160"/>
      <c r="L160"/>
      <c r="M160"/>
    </row>
    <row r="161" spans="1:13" x14ac:dyDescent="0.25">
      <c r="A161"/>
      <c r="B161"/>
      <c r="D161"/>
      <c r="E161"/>
      <c r="F161"/>
      <c r="G161"/>
      <c r="H161"/>
      <c r="I161"/>
      <c r="J161"/>
      <c r="K161"/>
      <c r="L161"/>
      <c r="M161"/>
    </row>
    <row r="162" spans="1:13" x14ac:dyDescent="0.25">
      <c r="A162"/>
      <c r="B162"/>
      <c r="D162"/>
      <c r="E162"/>
      <c r="F162"/>
      <c r="G162"/>
      <c r="H162"/>
      <c r="I162"/>
      <c r="J162"/>
      <c r="K162"/>
      <c r="L162"/>
      <c r="M162"/>
    </row>
    <row r="163" spans="1:13" x14ac:dyDescent="0.25">
      <c r="A163"/>
      <c r="B163"/>
      <c r="D163"/>
      <c r="E163"/>
      <c r="F163"/>
      <c r="G163"/>
      <c r="H163"/>
      <c r="I163"/>
      <c r="J163"/>
      <c r="K163"/>
      <c r="L163"/>
      <c r="M163"/>
    </row>
    <row r="164" spans="1:13" x14ac:dyDescent="0.25">
      <c r="A164"/>
      <c r="B164"/>
      <c r="D164"/>
      <c r="E164"/>
      <c r="F164"/>
      <c r="G164"/>
      <c r="H164"/>
      <c r="I164"/>
      <c r="J164"/>
      <c r="K164"/>
      <c r="L164"/>
      <c r="M164"/>
    </row>
    <row r="165" spans="1:13" x14ac:dyDescent="0.25">
      <c r="A165"/>
      <c r="B165"/>
      <c r="D165"/>
      <c r="E165"/>
      <c r="F165"/>
      <c r="G165"/>
      <c r="H165"/>
      <c r="I165"/>
      <c r="J165"/>
      <c r="K165"/>
      <c r="L165"/>
      <c r="M165"/>
    </row>
    <row r="166" spans="1:13" x14ac:dyDescent="0.25">
      <c r="A166"/>
      <c r="B166"/>
      <c r="D166"/>
      <c r="E166"/>
      <c r="F166"/>
      <c r="G166"/>
      <c r="H166"/>
      <c r="I166"/>
      <c r="J166"/>
      <c r="K166"/>
      <c r="L166"/>
      <c r="M166"/>
    </row>
    <row r="167" spans="1:13" x14ac:dyDescent="0.25">
      <c r="A167"/>
      <c r="B167"/>
      <c r="D167"/>
      <c r="E167"/>
      <c r="F167"/>
      <c r="G167"/>
      <c r="H167"/>
      <c r="I167"/>
      <c r="J167"/>
      <c r="K167"/>
      <c r="L167"/>
      <c r="M167"/>
    </row>
    <row r="168" spans="1:13" x14ac:dyDescent="0.25">
      <c r="A168"/>
      <c r="B168"/>
      <c r="D168"/>
      <c r="E168"/>
      <c r="F168"/>
      <c r="G168"/>
      <c r="H168"/>
      <c r="I168"/>
      <c r="J168"/>
      <c r="K168"/>
      <c r="L168"/>
      <c r="M168"/>
    </row>
    <row r="169" spans="1:13" x14ac:dyDescent="0.25">
      <c r="A169"/>
      <c r="B169"/>
      <c r="D169"/>
      <c r="E169"/>
      <c r="F169"/>
      <c r="G169"/>
      <c r="H169"/>
      <c r="I169"/>
      <c r="J169"/>
      <c r="K169"/>
      <c r="L169"/>
      <c r="M169"/>
    </row>
    <row r="170" spans="1:13" x14ac:dyDescent="0.25">
      <c r="A170"/>
      <c r="B170"/>
      <c r="D170"/>
      <c r="E170"/>
      <c r="F170"/>
      <c r="G170"/>
      <c r="H170"/>
      <c r="I170"/>
      <c r="J170"/>
      <c r="K170"/>
      <c r="L170"/>
      <c r="M170"/>
    </row>
    <row r="171" spans="1:13" x14ac:dyDescent="0.25">
      <c r="A171"/>
      <c r="B171"/>
      <c r="D171"/>
      <c r="E171"/>
      <c r="F171"/>
      <c r="G171"/>
      <c r="H171"/>
      <c r="I171"/>
      <c r="J171"/>
      <c r="K171"/>
      <c r="L171"/>
      <c r="M171"/>
    </row>
    <row r="172" spans="1:13" x14ac:dyDescent="0.25">
      <c r="A172"/>
      <c r="B172"/>
      <c r="D172"/>
      <c r="E172"/>
      <c r="F172"/>
      <c r="G172"/>
      <c r="H172"/>
      <c r="I172"/>
      <c r="J172"/>
      <c r="K172"/>
      <c r="L172"/>
      <c r="M172"/>
    </row>
    <row r="173" spans="1:13" x14ac:dyDescent="0.25">
      <c r="A173"/>
      <c r="B173"/>
      <c r="D173"/>
      <c r="E173"/>
      <c r="F173"/>
      <c r="G173"/>
      <c r="H173"/>
      <c r="I173"/>
      <c r="J173"/>
      <c r="K173"/>
      <c r="L173"/>
      <c r="M173"/>
    </row>
    <row r="174" spans="1:13" x14ac:dyDescent="0.25">
      <c r="A174"/>
      <c r="B174"/>
      <c r="D174"/>
      <c r="E174"/>
      <c r="F174"/>
      <c r="G174"/>
      <c r="H174"/>
      <c r="I174"/>
      <c r="J174"/>
      <c r="K174"/>
      <c r="L174"/>
      <c r="M174"/>
    </row>
    <row r="175" spans="1:13" x14ac:dyDescent="0.25">
      <c r="A175"/>
      <c r="B175"/>
      <c r="D175"/>
      <c r="E175"/>
      <c r="F175"/>
      <c r="G175"/>
      <c r="H175"/>
      <c r="I175"/>
      <c r="J175"/>
      <c r="K175"/>
      <c r="L175"/>
      <c r="M175"/>
    </row>
    <row r="176" spans="1:13" x14ac:dyDescent="0.25">
      <c r="A176"/>
      <c r="B176"/>
      <c r="D176"/>
      <c r="E176"/>
      <c r="F176"/>
      <c r="G176"/>
      <c r="H176"/>
      <c r="I176"/>
      <c r="J176"/>
      <c r="K176"/>
      <c r="L176"/>
      <c r="M176"/>
    </row>
    <row r="177" spans="1:13" x14ac:dyDescent="0.25">
      <c r="A177"/>
      <c r="B177"/>
      <c r="D177"/>
      <c r="E177"/>
      <c r="F177"/>
      <c r="G177"/>
      <c r="H177"/>
      <c r="I177"/>
      <c r="J177"/>
      <c r="K177"/>
      <c r="L177"/>
      <c r="M177"/>
    </row>
    <row r="178" spans="1:13" x14ac:dyDescent="0.25">
      <c r="A178"/>
      <c r="B178"/>
      <c r="D178"/>
      <c r="E178"/>
      <c r="F178"/>
      <c r="G178"/>
      <c r="H178"/>
      <c r="I178"/>
      <c r="J178"/>
      <c r="K178"/>
      <c r="L178"/>
      <c r="M178"/>
    </row>
    <row r="179" spans="1:13" x14ac:dyDescent="0.25">
      <c r="A179"/>
      <c r="B179"/>
      <c r="D179"/>
      <c r="E179"/>
      <c r="F179"/>
      <c r="G179"/>
      <c r="H179"/>
      <c r="I179"/>
      <c r="J179"/>
      <c r="K179"/>
      <c r="L179"/>
      <c r="M179"/>
    </row>
    <row r="180" spans="1:13" x14ac:dyDescent="0.25">
      <c r="A180"/>
      <c r="B180"/>
      <c r="D180"/>
      <c r="E180"/>
      <c r="F180"/>
      <c r="G180"/>
      <c r="H180"/>
      <c r="I180"/>
      <c r="J180"/>
      <c r="K180"/>
      <c r="L180"/>
      <c r="M180"/>
    </row>
    <row r="181" spans="1:13" x14ac:dyDescent="0.25">
      <c r="A181"/>
      <c r="B181"/>
      <c r="D181"/>
      <c r="E181"/>
      <c r="F181"/>
      <c r="G181"/>
      <c r="H181"/>
      <c r="I181"/>
      <c r="J181"/>
      <c r="K181"/>
      <c r="L181"/>
      <c r="M181"/>
    </row>
    <row r="182" spans="1:13" x14ac:dyDescent="0.25">
      <c r="A182"/>
      <c r="B182"/>
      <c r="D182"/>
      <c r="E182"/>
      <c r="F182"/>
      <c r="G182"/>
      <c r="H182"/>
      <c r="I182"/>
      <c r="J182"/>
      <c r="K182"/>
      <c r="L182"/>
      <c r="M182"/>
    </row>
    <row r="183" spans="1:13" x14ac:dyDescent="0.25">
      <c r="A183"/>
      <c r="B183"/>
      <c r="D183"/>
      <c r="E183"/>
      <c r="F183"/>
      <c r="G183"/>
      <c r="H183"/>
      <c r="I183"/>
      <c r="J183"/>
      <c r="K183"/>
      <c r="L183"/>
      <c r="M183"/>
    </row>
    <row r="184" spans="1:13" x14ac:dyDescent="0.25">
      <c r="A184"/>
      <c r="B184"/>
      <c r="D184"/>
      <c r="E184"/>
      <c r="F184"/>
      <c r="G184"/>
      <c r="H184"/>
      <c r="I184"/>
      <c r="J184"/>
      <c r="K184"/>
      <c r="L184"/>
      <c r="M184"/>
    </row>
    <row r="185" spans="1:13" x14ac:dyDescent="0.25">
      <c r="A185"/>
      <c r="B185"/>
      <c r="D185"/>
      <c r="E185"/>
      <c r="F185"/>
      <c r="G185"/>
      <c r="H185"/>
      <c r="I185"/>
      <c r="J185"/>
      <c r="K185"/>
      <c r="L185"/>
      <c r="M185"/>
    </row>
    <row r="186" spans="1:13" x14ac:dyDescent="0.25">
      <c r="A186"/>
      <c r="B186"/>
      <c r="D186"/>
      <c r="E186"/>
      <c r="F186"/>
      <c r="G186"/>
      <c r="H186"/>
      <c r="I186"/>
      <c r="J186"/>
      <c r="K186"/>
      <c r="L186"/>
      <c r="M186"/>
    </row>
    <row r="187" spans="1:13" x14ac:dyDescent="0.25">
      <c r="A187"/>
      <c r="B187"/>
      <c r="D187"/>
      <c r="E187"/>
      <c r="F187"/>
      <c r="G187"/>
      <c r="H187"/>
      <c r="I187"/>
      <c r="J187"/>
      <c r="K187"/>
      <c r="L187"/>
      <c r="M187"/>
    </row>
    <row r="188" spans="1:13" x14ac:dyDescent="0.25">
      <c r="A188"/>
      <c r="B188"/>
      <c r="D188"/>
      <c r="E188"/>
      <c r="F188"/>
      <c r="G188"/>
      <c r="H188"/>
      <c r="I188"/>
      <c r="J188"/>
      <c r="K188"/>
      <c r="L188"/>
      <c r="M188"/>
    </row>
    <row r="189" spans="1:13" x14ac:dyDescent="0.25">
      <c r="A189"/>
      <c r="B189"/>
      <c r="D189"/>
      <c r="E189"/>
      <c r="F189"/>
      <c r="G189"/>
      <c r="H189"/>
      <c r="I189"/>
      <c r="J189"/>
      <c r="K189"/>
      <c r="L189"/>
      <c r="M189"/>
    </row>
    <row r="190" spans="1:13" x14ac:dyDescent="0.25">
      <c r="A190"/>
      <c r="B190"/>
      <c r="D190"/>
      <c r="E190"/>
      <c r="F190"/>
      <c r="G190"/>
      <c r="H190"/>
      <c r="I190"/>
      <c r="J190"/>
      <c r="K190"/>
      <c r="L190"/>
      <c r="M190"/>
    </row>
    <row r="191" spans="1:13" x14ac:dyDescent="0.25">
      <c r="A191"/>
      <c r="B191"/>
      <c r="D191"/>
      <c r="E191"/>
      <c r="F191"/>
      <c r="G191"/>
      <c r="H191"/>
      <c r="I191"/>
      <c r="J191"/>
      <c r="K191"/>
      <c r="L191"/>
      <c r="M191"/>
    </row>
    <row r="192" spans="1:13" x14ac:dyDescent="0.25">
      <c r="A192"/>
      <c r="B192"/>
      <c r="D192"/>
      <c r="E192"/>
      <c r="F192"/>
      <c r="G192"/>
      <c r="H192"/>
      <c r="I192"/>
      <c r="J192"/>
      <c r="K192"/>
      <c r="L192"/>
      <c r="M192"/>
    </row>
    <row r="193" spans="1:13" x14ac:dyDescent="0.25">
      <c r="A193"/>
      <c r="B193"/>
      <c r="D193"/>
      <c r="E193"/>
      <c r="F193"/>
      <c r="G193"/>
      <c r="H193"/>
      <c r="I193"/>
      <c r="J193"/>
      <c r="K193"/>
      <c r="L193"/>
      <c r="M193"/>
    </row>
    <row r="194" spans="1:13" x14ac:dyDescent="0.25">
      <c r="A194"/>
      <c r="B194"/>
      <c r="D194"/>
      <c r="E194"/>
      <c r="F194"/>
      <c r="G194"/>
      <c r="H194"/>
      <c r="I194"/>
      <c r="J194"/>
      <c r="K194"/>
      <c r="L194"/>
      <c r="M194"/>
    </row>
    <row r="195" spans="1:13" x14ac:dyDescent="0.25">
      <c r="A195"/>
      <c r="B195"/>
      <c r="D195"/>
      <c r="E195"/>
      <c r="F195"/>
      <c r="G195"/>
      <c r="H195"/>
      <c r="I195"/>
      <c r="J195"/>
      <c r="K195"/>
      <c r="L195"/>
      <c r="M195"/>
    </row>
    <row r="196" spans="1:13" x14ac:dyDescent="0.25">
      <c r="A196"/>
      <c r="B196"/>
      <c r="D196"/>
      <c r="E196"/>
      <c r="F196"/>
      <c r="G196"/>
      <c r="H196"/>
      <c r="I196"/>
      <c r="J196"/>
      <c r="K196"/>
      <c r="L196"/>
      <c r="M196"/>
    </row>
    <row r="197" spans="1:13" x14ac:dyDescent="0.25">
      <c r="A197"/>
      <c r="B197"/>
      <c r="D197"/>
      <c r="E197"/>
      <c r="F197"/>
      <c r="G197"/>
      <c r="H197"/>
      <c r="I197"/>
      <c r="J197"/>
      <c r="K197"/>
      <c r="L197"/>
      <c r="M197"/>
    </row>
    <row r="198" spans="1:13" x14ac:dyDescent="0.25">
      <c r="A198"/>
      <c r="B198"/>
      <c r="D198"/>
      <c r="E198"/>
      <c r="F198"/>
      <c r="G198"/>
      <c r="H198"/>
      <c r="I198"/>
      <c r="J198"/>
      <c r="K198"/>
      <c r="L198"/>
      <c r="M198"/>
    </row>
    <row r="199" spans="1:13" x14ac:dyDescent="0.25">
      <c r="A199"/>
      <c r="B199"/>
      <c r="D199"/>
      <c r="E199"/>
      <c r="F199"/>
      <c r="G199"/>
      <c r="H199"/>
      <c r="I199"/>
      <c r="J199"/>
      <c r="K199"/>
      <c r="L199"/>
      <c r="M199"/>
    </row>
    <row r="200" spans="1:13" x14ac:dyDescent="0.25">
      <c r="A200"/>
      <c r="B200"/>
      <c r="D200"/>
      <c r="E200"/>
      <c r="F200"/>
      <c r="G200"/>
      <c r="H200"/>
      <c r="I200"/>
      <c r="J200"/>
      <c r="K200"/>
      <c r="L200"/>
      <c r="M200"/>
    </row>
    <row r="201" spans="1:13" x14ac:dyDescent="0.25">
      <c r="A201"/>
      <c r="B201"/>
      <c r="D201"/>
      <c r="E201"/>
      <c r="F201"/>
      <c r="G201"/>
      <c r="H201"/>
      <c r="I201"/>
      <c r="J201"/>
      <c r="K201"/>
      <c r="L201"/>
      <c r="M201"/>
    </row>
    <row r="202" spans="1:13" x14ac:dyDescent="0.25">
      <c r="A202"/>
      <c r="B202"/>
      <c r="D202"/>
      <c r="E202"/>
      <c r="F202"/>
      <c r="G202"/>
      <c r="H202"/>
      <c r="I202"/>
      <c r="J202"/>
      <c r="K202"/>
      <c r="L202"/>
      <c r="M202"/>
    </row>
    <row r="203" spans="1:13" x14ac:dyDescent="0.25">
      <c r="A203"/>
      <c r="B203"/>
      <c r="D203"/>
      <c r="E203"/>
      <c r="F203"/>
      <c r="G203"/>
      <c r="H203"/>
      <c r="I203"/>
      <c r="J203"/>
      <c r="K203"/>
      <c r="L203"/>
      <c r="M203"/>
    </row>
    <row r="204" spans="1:13" x14ac:dyDescent="0.25">
      <c r="A204"/>
      <c r="B204"/>
      <c r="D204"/>
      <c r="E204"/>
      <c r="F204"/>
      <c r="G204"/>
      <c r="H204"/>
      <c r="I204"/>
      <c r="J204"/>
      <c r="K204"/>
      <c r="L204"/>
      <c r="M204"/>
    </row>
    <row r="205" spans="1:13" x14ac:dyDescent="0.25">
      <c r="A205"/>
      <c r="B205"/>
      <c r="D205"/>
      <c r="E205"/>
      <c r="F205"/>
      <c r="G205"/>
      <c r="H205"/>
      <c r="I205"/>
      <c r="J205"/>
      <c r="K205"/>
      <c r="L205"/>
      <c r="M205"/>
    </row>
    <row r="206" spans="1:13" x14ac:dyDescent="0.25">
      <c r="A206"/>
      <c r="B206"/>
      <c r="D206"/>
      <c r="E206"/>
      <c r="F206"/>
      <c r="G206"/>
      <c r="H206"/>
      <c r="I206"/>
      <c r="J206"/>
      <c r="K206"/>
      <c r="L206"/>
      <c r="M206"/>
    </row>
    <row r="207" spans="1:13" x14ac:dyDescent="0.25">
      <c r="A207"/>
      <c r="B207"/>
      <c r="D207"/>
      <c r="E207"/>
      <c r="F207"/>
      <c r="G207"/>
      <c r="H207"/>
      <c r="I207"/>
      <c r="J207"/>
      <c r="K207"/>
      <c r="L207"/>
      <c r="M207"/>
    </row>
    <row r="208" spans="1:13" x14ac:dyDescent="0.25">
      <c r="A208"/>
      <c r="B208"/>
      <c r="D208"/>
      <c r="E208"/>
      <c r="F208"/>
      <c r="G208"/>
      <c r="H208"/>
      <c r="I208"/>
      <c r="J208"/>
      <c r="K208"/>
      <c r="L208"/>
      <c r="M208"/>
    </row>
    <row r="209" spans="1:13" x14ac:dyDescent="0.25">
      <c r="A209"/>
      <c r="B209"/>
      <c r="D209"/>
      <c r="E209"/>
      <c r="F209"/>
      <c r="G209"/>
      <c r="H209"/>
      <c r="I209"/>
      <c r="J209"/>
      <c r="K209"/>
      <c r="L209"/>
      <c r="M209"/>
    </row>
    <row r="210" spans="1:13" x14ac:dyDescent="0.25">
      <c r="A210"/>
      <c r="B210"/>
      <c r="D210"/>
      <c r="E210"/>
      <c r="F210"/>
      <c r="G210"/>
      <c r="H210"/>
      <c r="I210"/>
      <c r="J210"/>
      <c r="K210"/>
      <c r="L210"/>
      <c r="M210"/>
    </row>
    <row r="211" spans="1:13" x14ac:dyDescent="0.25">
      <c r="A211"/>
      <c r="B211"/>
      <c r="D211"/>
      <c r="E211"/>
      <c r="F211"/>
      <c r="G211"/>
      <c r="H211"/>
      <c r="I211"/>
      <c r="J211"/>
      <c r="K211"/>
      <c r="L211"/>
      <c r="M211"/>
    </row>
    <row r="212" spans="1:13" x14ac:dyDescent="0.25">
      <c r="A212"/>
      <c r="B212"/>
      <c r="D212"/>
      <c r="E212"/>
      <c r="F212"/>
      <c r="G212"/>
      <c r="H212"/>
      <c r="I212"/>
      <c r="J212"/>
      <c r="K212"/>
      <c r="L212"/>
      <c r="M212"/>
    </row>
    <row r="213" spans="1:13" x14ac:dyDescent="0.25">
      <c r="A213"/>
      <c r="B213"/>
      <c r="D213"/>
      <c r="E213"/>
      <c r="F213"/>
      <c r="G213"/>
      <c r="H213"/>
      <c r="I213"/>
      <c r="J213"/>
      <c r="K213"/>
      <c r="L213"/>
      <c r="M213"/>
    </row>
    <row r="214" spans="1:13" x14ac:dyDescent="0.25">
      <c r="A214"/>
      <c r="B214"/>
      <c r="D214"/>
      <c r="E214"/>
      <c r="F214"/>
      <c r="G214"/>
      <c r="H214"/>
      <c r="I214"/>
      <c r="J214"/>
      <c r="K214"/>
      <c r="L214"/>
      <c r="M214"/>
    </row>
    <row r="215" spans="1:13" x14ac:dyDescent="0.25">
      <c r="A215"/>
      <c r="B215"/>
      <c r="D215"/>
      <c r="E215"/>
      <c r="F215"/>
      <c r="G215"/>
      <c r="H215"/>
      <c r="I215"/>
      <c r="J215"/>
      <c r="K215"/>
      <c r="L215"/>
      <c r="M215"/>
    </row>
    <row r="216" spans="1:13" x14ac:dyDescent="0.25">
      <c r="A216"/>
      <c r="B216"/>
      <c r="D216"/>
      <c r="E216"/>
      <c r="F216"/>
      <c r="G216"/>
      <c r="H216"/>
      <c r="I216"/>
      <c r="J216"/>
      <c r="K216"/>
      <c r="L216"/>
      <c r="M216"/>
    </row>
    <row r="217" spans="1:13" x14ac:dyDescent="0.25">
      <c r="A217"/>
      <c r="B217"/>
      <c r="D217"/>
      <c r="E217"/>
      <c r="F217"/>
      <c r="G217"/>
      <c r="H217"/>
      <c r="I217"/>
      <c r="J217"/>
      <c r="K217"/>
      <c r="L217"/>
      <c r="M217"/>
    </row>
    <row r="218" spans="1:13" x14ac:dyDescent="0.25">
      <c r="A218"/>
      <c r="B218"/>
      <c r="D218"/>
      <c r="E218"/>
      <c r="F218"/>
      <c r="G218"/>
      <c r="H218"/>
      <c r="I218"/>
      <c r="J218"/>
      <c r="K218"/>
      <c r="L218"/>
      <c r="M218"/>
    </row>
    <row r="219" spans="1:13" x14ac:dyDescent="0.25">
      <c r="A219"/>
      <c r="B219"/>
      <c r="D219"/>
      <c r="E219"/>
      <c r="F219"/>
      <c r="G219"/>
      <c r="H219"/>
      <c r="I219"/>
      <c r="J219"/>
      <c r="K219"/>
      <c r="L219"/>
      <c r="M219"/>
    </row>
    <row r="220" spans="1:13" x14ac:dyDescent="0.25">
      <c r="A220"/>
      <c r="B220"/>
      <c r="D220"/>
      <c r="E220"/>
      <c r="F220"/>
      <c r="G220"/>
      <c r="H220"/>
      <c r="I220"/>
      <c r="J220"/>
      <c r="K220"/>
      <c r="L220"/>
      <c r="M220"/>
    </row>
    <row r="221" spans="1:13" x14ac:dyDescent="0.25">
      <c r="A221"/>
      <c r="B221"/>
      <c r="D221"/>
      <c r="E221"/>
      <c r="F221"/>
      <c r="G221"/>
      <c r="H221"/>
      <c r="I221"/>
      <c r="J221"/>
      <c r="K221"/>
      <c r="L221"/>
      <c r="M221"/>
    </row>
    <row r="222" spans="1:13" x14ac:dyDescent="0.25">
      <c r="A222"/>
      <c r="B222"/>
      <c r="D222"/>
      <c r="E222"/>
      <c r="F222"/>
      <c r="G222"/>
      <c r="H222"/>
      <c r="I222"/>
      <c r="J222"/>
      <c r="K222"/>
      <c r="L222"/>
      <c r="M222"/>
    </row>
    <row r="223" spans="1:13" x14ac:dyDescent="0.25">
      <c r="A223"/>
      <c r="B223"/>
      <c r="D223"/>
      <c r="E223"/>
      <c r="F223"/>
      <c r="G223"/>
      <c r="H223"/>
      <c r="I223"/>
      <c r="J223"/>
      <c r="K223"/>
      <c r="L223"/>
      <c r="M223"/>
    </row>
    <row r="224" spans="1:13" x14ac:dyDescent="0.25">
      <c r="A224"/>
      <c r="B224"/>
      <c r="D224"/>
      <c r="E224"/>
      <c r="F224"/>
      <c r="G224"/>
      <c r="H224"/>
      <c r="I224"/>
      <c r="J224"/>
      <c r="K224"/>
      <c r="L224"/>
      <c r="M224"/>
    </row>
    <row r="225" spans="1:13" x14ac:dyDescent="0.25">
      <c r="A225"/>
      <c r="B225"/>
      <c r="D225"/>
      <c r="E225"/>
      <c r="F225"/>
      <c r="G225"/>
      <c r="H225"/>
      <c r="I225"/>
      <c r="J225"/>
      <c r="K225"/>
      <c r="L225"/>
      <c r="M225"/>
    </row>
    <row r="226" spans="1:13" x14ac:dyDescent="0.25">
      <c r="A226"/>
      <c r="B226"/>
      <c r="D226"/>
      <c r="E226"/>
      <c r="F226"/>
      <c r="G226"/>
      <c r="H226"/>
      <c r="I226"/>
      <c r="J226"/>
      <c r="K226"/>
      <c r="L226"/>
      <c r="M226"/>
    </row>
    <row r="227" spans="1:13" x14ac:dyDescent="0.25">
      <c r="A227"/>
      <c r="B227"/>
      <c r="D227"/>
      <c r="E227"/>
      <c r="F227"/>
      <c r="G227"/>
      <c r="H227"/>
      <c r="I227"/>
      <c r="J227"/>
      <c r="K227"/>
      <c r="L227"/>
      <c r="M227"/>
    </row>
    <row r="228" spans="1:13" x14ac:dyDescent="0.25">
      <c r="A228"/>
      <c r="B228"/>
      <c r="D228"/>
      <c r="E228"/>
      <c r="F228"/>
      <c r="G228"/>
      <c r="H228"/>
      <c r="I228"/>
      <c r="J228"/>
      <c r="K228"/>
      <c r="L228"/>
      <c r="M228"/>
    </row>
    <row r="229" spans="1:13" x14ac:dyDescent="0.25">
      <c r="A229"/>
      <c r="B229"/>
      <c r="D229"/>
      <c r="E229"/>
      <c r="F229"/>
      <c r="G229"/>
      <c r="H229"/>
      <c r="I229"/>
      <c r="J229"/>
      <c r="K229"/>
      <c r="L229"/>
      <c r="M229"/>
    </row>
    <row r="230" spans="1:13" x14ac:dyDescent="0.25">
      <c r="A230"/>
      <c r="B230"/>
      <c r="D230"/>
      <c r="E230"/>
      <c r="F230"/>
      <c r="G230"/>
      <c r="H230"/>
      <c r="I230"/>
      <c r="J230"/>
      <c r="K230"/>
      <c r="L230"/>
      <c r="M230"/>
    </row>
    <row r="231" spans="1:13" x14ac:dyDescent="0.25">
      <c r="A231"/>
      <c r="B231"/>
      <c r="D231"/>
      <c r="E231"/>
      <c r="F231"/>
      <c r="G231"/>
      <c r="H231"/>
      <c r="I231"/>
      <c r="J231"/>
      <c r="K231"/>
      <c r="L231"/>
      <c r="M231"/>
    </row>
    <row r="232" spans="1:13" x14ac:dyDescent="0.25">
      <c r="A232"/>
      <c r="B232"/>
      <c r="D232"/>
      <c r="E232"/>
      <c r="F232"/>
      <c r="G232"/>
      <c r="H232"/>
      <c r="I232"/>
      <c r="J232"/>
      <c r="K232"/>
      <c r="L232"/>
      <c r="M232"/>
    </row>
    <row r="233" spans="1:13" x14ac:dyDescent="0.25">
      <c r="A233"/>
      <c r="B233"/>
      <c r="D233"/>
      <c r="E233"/>
      <c r="F233"/>
      <c r="G233"/>
      <c r="H233"/>
      <c r="I233"/>
      <c r="J233"/>
      <c r="K233"/>
      <c r="L233"/>
      <c r="M233"/>
    </row>
    <row r="234" spans="1:13" x14ac:dyDescent="0.25">
      <c r="A234"/>
      <c r="B234"/>
      <c r="D234"/>
      <c r="E234"/>
      <c r="F234"/>
      <c r="G234"/>
      <c r="H234"/>
      <c r="I234"/>
      <c r="J234"/>
      <c r="K234"/>
      <c r="L234"/>
      <c r="M234"/>
    </row>
    <row r="235" spans="1:13" x14ac:dyDescent="0.25">
      <c r="A235"/>
      <c r="B235"/>
      <c r="D235"/>
      <c r="E235"/>
      <c r="F235"/>
      <c r="G235"/>
      <c r="H235"/>
      <c r="I235"/>
      <c r="J235"/>
      <c r="K235"/>
      <c r="L235"/>
      <c r="M235"/>
    </row>
    <row r="236" spans="1:13" x14ac:dyDescent="0.25">
      <c r="A236"/>
      <c r="B236"/>
      <c r="D236"/>
      <c r="E236"/>
      <c r="F236"/>
      <c r="G236"/>
      <c r="H236"/>
      <c r="I236"/>
      <c r="J236"/>
      <c r="K236"/>
      <c r="L236"/>
      <c r="M236"/>
    </row>
    <row r="237" spans="1:13" x14ac:dyDescent="0.25">
      <c r="A237"/>
      <c r="B237"/>
      <c r="D237"/>
      <c r="E237"/>
      <c r="F237"/>
      <c r="G237"/>
      <c r="H237"/>
      <c r="I237"/>
      <c r="J237"/>
      <c r="K237"/>
      <c r="L237"/>
      <c r="M237"/>
    </row>
    <row r="238" spans="1:13" x14ac:dyDescent="0.25">
      <c r="A238"/>
      <c r="B238"/>
      <c r="D238"/>
      <c r="E238"/>
      <c r="F238"/>
      <c r="G238"/>
      <c r="H238"/>
      <c r="I238"/>
      <c r="J238"/>
      <c r="K238"/>
      <c r="L238"/>
      <c r="M238"/>
    </row>
    <row r="239" spans="1:13" x14ac:dyDescent="0.25">
      <c r="A239"/>
      <c r="B239"/>
      <c r="D239"/>
      <c r="E239"/>
      <c r="F239"/>
      <c r="G239"/>
      <c r="H239"/>
      <c r="I239"/>
      <c r="J239"/>
      <c r="K239"/>
      <c r="L239"/>
      <c r="M239"/>
    </row>
    <row r="240" spans="1:13" x14ac:dyDescent="0.25">
      <c r="A240"/>
      <c r="B240"/>
      <c r="D240"/>
      <c r="E240"/>
      <c r="F240"/>
      <c r="G240"/>
      <c r="H240"/>
      <c r="I240"/>
      <c r="J240"/>
      <c r="K240"/>
      <c r="L240"/>
      <c r="M240"/>
    </row>
    <row r="241" spans="1:13" x14ac:dyDescent="0.25">
      <c r="A241"/>
      <c r="B241"/>
      <c r="D241"/>
      <c r="E241"/>
      <c r="F241"/>
      <c r="G241"/>
      <c r="H241"/>
      <c r="I241"/>
      <c r="J241"/>
      <c r="K241"/>
      <c r="L241"/>
      <c r="M241"/>
    </row>
    <row r="242" spans="1:13" x14ac:dyDescent="0.25">
      <c r="A242"/>
      <c r="B242"/>
      <c r="D242"/>
      <c r="E242"/>
      <c r="F242"/>
      <c r="G242"/>
      <c r="H242"/>
      <c r="I242"/>
      <c r="J242"/>
      <c r="K242"/>
      <c r="L242"/>
      <c r="M242"/>
    </row>
    <row r="243" spans="1:13" x14ac:dyDescent="0.25">
      <c r="A243"/>
      <c r="B243"/>
      <c r="D243"/>
      <c r="E243"/>
      <c r="F243"/>
      <c r="G243"/>
      <c r="H243"/>
      <c r="I243"/>
      <c r="J243"/>
      <c r="K243"/>
      <c r="L243"/>
      <c r="M243"/>
    </row>
    <row r="244" spans="1:13" x14ac:dyDescent="0.25">
      <c r="A244"/>
      <c r="B244"/>
      <c r="D244"/>
      <c r="E244"/>
      <c r="F244"/>
      <c r="G244"/>
      <c r="H244"/>
      <c r="I244"/>
      <c r="J244"/>
      <c r="K244"/>
      <c r="L244"/>
      <c r="M244"/>
    </row>
    <row r="245" spans="1:13" x14ac:dyDescent="0.25">
      <c r="A245"/>
      <c r="B245"/>
      <c r="D245"/>
      <c r="E245"/>
      <c r="F245"/>
      <c r="G245"/>
      <c r="H245"/>
      <c r="I245"/>
      <c r="J245"/>
      <c r="K245"/>
      <c r="L245"/>
      <c r="M245"/>
    </row>
    <row r="246" spans="1:13" x14ac:dyDescent="0.25">
      <c r="A246"/>
      <c r="B246"/>
      <c r="D246"/>
      <c r="E246"/>
      <c r="F246"/>
      <c r="G246"/>
      <c r="H246"/>
      <c r="I246"/>
      <c r="J246"/>
      <c r="K246"/>
      <c r="L246"/>
      <c r="M246"/>
    </row>
    <row r="247" spans="1:13" x14ac:dyDescent="0.25">
      <c r="A247"/>
      <c r="B247"/>
      <c r="D247"/>
      <c r="E247"/>
      <c r="F247"/>
      <c r="G247"/>
      <c r="H247"/>
      <c r="I247"/>
      <c r="J247"/>
      <c r="K247"/>
      <c r="L247"/>
      <c r="M247"/>
    </row>
    <row r="248" spans="1:13" x14ac:dyDescent="0.25">
      <c r="A248"/>
      <c r="B248"/>
      <c r="D248"/>
      <c r="E248"/>
      <c r="F248"/>
      <c r="G248"/>
      <c r="H248"/>
      <c r="I248"/>
      <c r="J248"/>
      <c r="K248"/>
      <c r="L248"/>
      <c r="M248"/>
    </row>
    <row r="249" spans="1:13" x14ac:dyDescent="0.25">
      <c r="A249"/>
      <c r="B249"/>
      <c r="D249"/>
      <c r="E249"/>
      <c r="F249"/>
      <c r="G249"/>
      <c r="H249"/>
      <c r="I249"/>
      <c r="J249"/>
      <c r="K249"/>
      <c r="L249"/>
      <c r="M249"/>
    </row>
    <row r="250" spans="1:13" x14ac:dyDescent="0.25">
      <c r="A250"/>
      <c r="B250"/>
      <c r="D250"/>
      <c r="E250"/>
      <c r="F250"/>
      <c r="G250"/>
      <c r="H250"/>
      <c r="I250"/>
      <c r="J250"/>
      <c r="K250"/>
      <c r="L250"/>
      <c r="M250"/>
    </row>
    <row r="251" spans="1:13" x14ac:dyDescent="0.25">
      <c r="A251"/>
      <c r="B251"/>
      <c r="D251"/>
      <c r="E251"/>
      <c r="F251"/>
      <c r="G251"/>
      <c r="H251"/>
      <c r="I251"/>
      <c r="J251"/>
      <c r="K251"/>
      <c r="L251"/>
      <c r="M251"/>
    </row>
    <row r="252" spans="1:13" x14ac:dyDescent="0.25">
      <c r="A252"/>
      <c r="B252"/>
      <c r="D252"/>
      <c r="E252"/>
      <c r="F252"/>
      <c r="G252"/>
      <c r="H252"/>
      <c r="I252"/>
      <c r="J252"/>
      <c r="K252"/>
      <c r="L252"/>
      <c r="M252"/>
    </row>
    <row r="253" spans="1:13" x14ac:dyDescent="0.25">
      <c r="A253"/>
      <c r="B253"/>
      <c r="D253"/>
      <c r="E253"/>
      <c r="F253"/>
      <c r="G253"/>
      <c r="H253"/>
      <c r="I253"/>
      <c r="J253"/>
      <c r="K253"/>
      <c r="L253"/>
      <c r="M253"/>
    </row>
    <row r="254" spans="1:13" x14ac:dyDescent="0.25">
      <c r="A254"/>
      <c r="B254"/>
      <c r="D254"/>
      <c r="E254"/>
      <c r="F254"/>
      <c r="G254"/>
      <c r="H254"/>
      <c r="I254"/>
      <c r="J254"/>
      <c r="K254"/>
      <c r="L254"/>
      <c r="M254"/>
    </row>
    <row r="255" spans="1:13" x14ac:dyDescent="0.25">
      <c r="A255"/>
      <c r="B255"/>
      <c r="D255"/>
      <c r="E255"/>
      <c r="F255"/>
      <c r="G255"/>
      <c r="H255"/>
      <c r="I255"/>
      <c r="J255"/>
      <c r="K255"/>
      <c r="L255"/>
      <c r="M255"/>
    </row>
    <row r="256" spans="1:13" x14ac:dyDescent="0.25">
      <c r="A256"/>
      <c r="B256"/>
      <c r="D256"/>
      <c r="E256"/>
      <c r="F256"/>
      <c r="G256"/>
      <c r="H256"/>
      <c r="I256"/>
      <c r="J256"/>
      <c r="K256"/>
      <c r="L256"/>
      <c r="M256"/>
    </row>
    <row r="257" spans="1:13" x14ac:dyDescent="0.25">
      <c r="A257"/>
      <c r="B257"/>
      <c r="D257"/>
      <c r="E257"/>
      <c r="F257"/>
      <c r="G257"/>
      <c r="H257"/>
      <c r="I257"/>
      <c r="J257"/>
      <c r="K257"/>
      <c r="L257"/>
      <c r="M257"/>
    </row>
    <row r="258" spans="1:13" x14ac:dyDescent="0.25">
      <c r="A258"/>
      <c r="B258"/>
      <c r="D258"/>
      <c r="E258"/>
      <c r="F258"/>
      <c r="G258"/>
      <c r="H258"/>
      <c r="I258"/>
      <c r="J258"/>
      <c r="K258"/>
      <c r="L258"/>
      <c r="M258"/>
    </row>
    <row r="259" spans="1:13" x14ac:dyDescent="0.25">
      <c r="A259"/>
      <c r="B259"/>
      <c r="D259"/>
      <c r="E259"/>
      <c r="F259"/>
      <c r="G259"/>
      <c r="H259"/>
      <c r="I259"/>
      <c r="J259"/>
      <c r="K259"/>
      <c r="L259"/>
      <c r="M259"/>
    </row>
    <row r="260" spans="1:13" x14ac:dyDescent="0.25">
      <c r="A260"/>
      <c r="B260"/>
      <c r="D260"/>
      <c r="E260"/>
      <c r="F260"/>
      <c r="G260"/>
      <c r="H260"/>
      <c r="I260"/>
      <c r="J260"/>
      <c r="K260"/>
      <c r="L260"/>
      <c r="M260"/>
    </row>
    <row r="261" spans="1:13" x14ac:dyDescent="0.25">
      <c r="A261"/>
      <c r="B261"/>
      <c r="D261"/>
      <c r="E261"/>
      <c r="F261"/>
      <c r="G261"/>
      <c r="H261"/>
      <c r="I261"/>
      <c r="J261"/>
      <c r="K261"/>
      <c r="L261"/>
      <c r="M261"/>
    </row>
    <row r="262" spans="1:13" x14ac:dyDescent="0.25">
      <c r="A262"/>
      <c r="B262"/>
      <c r="D262"/>
      <c r="E262"/>
      <c r="F262"/>
      <c r="G262"/>
      <c r="H262"/>
      <c r="I262"/>
      <c r="J262"/>
      <c r="K262"/>
      <c r="L262"/>
      <c r="M262"/>
    </row>
    <row r="263" spans="1:13" x14ac:dyDescent="0.25">
      <c r="A263"/>
      <c r="B263"/>
      <c r="D263"/>
      <c r="E263"/>
      <c r="F263"/>
      <c r="G263"/>
      <c r="H263"/>
      <c r="I263"/>
      <c r="J263"/>
      <c r="K263"/>
      <c r="L263"/>
      <c r="M263"/>
    </row>
    <row r="264" spans="1:13" x14ac:dyDescent="0.25">
      <c r="A264"/>
      <c r="B264"/>
      <c r="D264"/>
      <c r="E264"/>
      <c r="F264"/>
      <c r="G264"/>
      <c r="H264"/>
      <c r="I264"/>
      <c r="J264"/>
      <c r="K264"/>
      <c r="L264"/>
      <c r="M264"/>
    </row>
    <row r="265" spans="1:13" x14ac:dyDescent="0.25">
      <c r="A265"/>
      <c r="B265"/>
      <c r="D265"/>
      <c r="E265"/>
      <c r="F265"/>
      <c r="G265"/>
      <c r="H265"/>
      <c r="I265"/>
      <c r="J265"/>
      <c r="K265"/>
      <c r="L265"/>
      <c r="M265"/>
    </row>
    <row r="266" spans="1:13" x14ac:dyDescent="0.25">
      <c r="A266"/>
      <c r="B266"/>
      <c r="D266"/>
      <c r="E266"/>
      <c r="F266"/>
      <c r="G266"/>
      <c r="H266"/>
      <c r="I266"/>
      <c r="J266"/>
      <c r="K266"/>
      <c r="L266"/>
      <c r="M266"/>
    </row>
    <row r="267" spans="1:13" x14ac:dyDescent="0.25">
      <c r="A267"/>
      <c r="B267"/>
      <c r="D267"/>
      <c r="E267"/>
      <c r="F267"/>
      <c r="G267"/>
      <c r="H267"/>
      <c r="I267"/>
      <c r="J267"/>
      <c r="K267"/>
      <c r="L267"/>
      <c r="M267"/>
    </row>
    <row r="268" spans="1:13" x14ac:dyDescent="0.25">
      <c r="A268"/>
      <c r="B268"/>
      <c r="D268"/>
      <c r="E268"/>
      <c r="F268"/>
      <c r="G268"/>
      <c r="H268"/>
      <c r="I268"/>
      <c r="J268"/>
      <c r="K268"/>
      <c r="L268"/>
      <c r="M268"/>
    </row>
    <row r="269" spans="1:13" x14ac:dyDescent="0.25">
      <c r="A269"/>
      <c r="B269"/>
      <c r="D269"/>
      <c r="E269"/>
      <c r="F269"/>
      <c r="G269"/>
      <c r="H269"/>
      <c r="I269"/>
      <c r="J269"/>
      <c r="K269"/>
      <c r="L269"/>
      <c r="M269"/>
    </row>
    <row r="270" spans="1:13" x14ac:dyDescent="0.25">
      <c r="A270"/>
      <c r="B270"/>
      <c r="D270"/>
      <c r="E270"/>
      <c r="F270"/>
      <c r="G270"/>
      <c r="H270"/>
      <c r="I270"/>
      <c r="J270"/>
      <c r="K270"/>
      <c r="L270"/>
      <c r="M270"/>
    </row>
    <row r="271" spans="1:13" x14ac:dyDescent="0.25">
      <c r="A271"/>
      <c r="B271"/>
      <c r="D271"/>
      <c r="E271"/>
      <c r="F271"/>
      <c r="G271"/>
      <c r="H271"/>
      <c r="I271"/>
      <c r="J271"/>
      <c r="K271"/>
      <c r="L271"/>
      <c r="M271"/>
    </row>
    <row r="272" spans="1:13" x14ac:dyDescent="0.25">
      <c r="A272"/>
      <c r="B272"/>
      <c r="D272"/>
      <c r="E272"/>
      <c r="F272"/>
      <c r="G272"/>
      <c r="H272"/>
      <c r="I272"/>
      <c r="J272"/>
      <c r="K272"/>
      <c r="L272"/>
      <c r="M272"/>
    </row>
    <row r="273" spans="1:13" x14ac:dyDescent="0.25">
      <c r="A273"/>
      <c r="B273"/>
      <c r="D273"/>
      <c r="E273"/>
      <c r="F273"/>
      <c r="G273"/>
      <c r="H273"/>
      <c r="I273"/>
      <c r="J273"/>
      <c r="K273"/>
      <c r="L273"/>
      <c r="M273"/>
    </row>
    <row r="274" spans="1:13" x14ac:dyDescent="0.25">
      <c r="A274"/>
      <c r="B274"/>
      <c r="D274"/>
      <c r="E274"/>
      <c r="F274"/>
      <c r="G274"/>
      <c r="H274"/>
      <c r="I274"/>
      <c r="J274"/>
      <c r="K274"/>
      <c r="L274"/>
      <c r="M274"/>
    </row>
    <row r="275" spans="1:13" x14ac:dyDescent="0.25">
      <c r="A275"/>
      <c r="B275"/>
      <c r="D275"/>
      <c r="E275"/>
      <c r="F275"/>
      <c r="G275"/>
      <c r="H275"/>
      <c r="I275"/>
      <c r="J275"/>
      <c r="K275"/>
      <c r="L275"/>
      <c r="M275"/>
    </row>
    <row r="276" spans="1:13" x14ac:dyDescent="0.25">
      <c r="A276"/>
      <c r="B276"/>
      <c r="D276"/>
      <c r="E276"/>
      <c r="F276"/>
      <c r="G276"/>
      <c r="H276"/>
      <c r="I276"/>
      <c r="J276"/>
      <c r="K276"/>
      <c r="L276"/>
      <c r="M276"/>
    </row>
    <row r="277" spans="1:13" x14ac:dyDescent="0.25">
      <c r="A277"/>
      <c r="B277"/>
      <c r="D277"/>
      <c r="E277"/>
      <c r="F277"/>
      <c r="G277"/>
      <c r="H277"/>
      <c r="I277"/>
      <c r="J277"/>
      <c r="K277"/>
      <c r="L277"/>
      <c r="M277"/>
    </row>
    <row r="278" spans="1:13" x14ac:dyDescent="0.25">
      <c r="A278"/>
      <c r="B278"/>
      <c r="D278"/>
      <c r="E278"/>
      <c r="F278"/>
      <c r="G278"/>
      <c r="H278"/>
      <c r="I278"/>
      <c r="J278"/>
      <c r="K278"/>
      <c r="L278"/>
      <c r="M278"/>
    </row>
    <row r="279" spans="1:13" x14ac:dyDescent="0.25">
      <c r="A279"/>
      <c r="B279"/>
      <c r="D279"/>
      <c r="E279"/>
      <c r="F279"/>
      <c r="G279"/>
      <c r="H279"/>
      <c r="I279"/>
      <c r="J279"/>
      <c r="K279"/>
      <c r="L279"/>
      <c r="M279"/>
    </row>
    <row r="280" spans="1:13" x14ac:dyDescent="0.25">
      <c r="A280"/>
      <c r="B280"/>
      <c r="D280"/>
      <c r="E280"/>
      <c r="F280"/>
      <c r="G280"/>
      <c r="H280"/>
      <c r="I280"/>
      <c r="J280"/>
      <c r="K280"/>
      <c r="L280"/>
      <c r="M280"/>
    </row>
    <row r="281" spans="1:13" x14ac:dyDescent="0.25">
      <c r="A281"/>
      <c r="B281"/>
      <c r="D281"/>
      <c r="E281"/>
      <c r="F281"/>
      <c r="G281"/>
      <c r="H281"/>
      <c r="I281"/>
      <c r="J281"/>
      <c r="K281"/>
      <c r="L281"/>
      <c r="M281"/>
    </row>
    <row r="282" spans="1:13" x14ac:dyDescent="0.25">
      <c r="A282"/>
      <c r="B282"/>
      <c r="D282"/>
      <c r="E282"/>
      <c r="F282"/>
      <c r="G282"/>
      <c r="H282"/>
      <c r="I282"/>
      <c r="J282"/>
      <c r="K282"/>
      <c r="L282"/>
      <c r="M282"/>
    </row>
    <row r="283" spans="1:13" x14ac:dyDescent="0.25">
      <c r="A283"/>
      <c r="B283"/>
      <c r="D283"/>
      <c r="E283"/>
      <c r="F283"/>
      <c r="G283"/>
      <c r="H283"/>
      <c r="I283"/>
      <c r="J283"/>
      <c r="K283"/>
      <c r="L283"/>
      <c r="M283"/>
    </row>
    <row r="284" spans="1:13" x14ac:dyDescent="0.25">
      <c r="A284"/>
      <c r="B284"/>
      <c r="D284"/>
      <c r="E284"/>
      <c r="F284"/>
      <c r="G284"/>
      <c r="H284"/>
      <c r="I284"/>
      <c r="J284"/>
      <c r="K284"/>
      <c r="L284"/>
      <c r="M284"/>
    </row>
    <row r="285" spans="1:13" x14ac:dyDescent="0.25">
      <c r="A285"/>
      <c r="B285"/>
      <c r="D285"/>
      <c r="E285"/>
      <c r="F285"/>
      <c r="G285"/>
      <c r="H285"/>
      <c r="I285"/>
      <c r="J285"/>
      <c r="K285"/>
      <c r="L285"/>
      <c r="M285"/>
    </row>
    <row r="286" spans="1:13" x14ac:dyDescent="0.25">
      <c r="A286"/>
      <c r="B286"/>
      <c r="D286"/>
      <c r="E286"/>
      <c r="F286"/>
      <c r="G286"/>
      <c r="H286"/>
      <c r="I286"/>
      <c r="J286"/>
      <c r="K286"/>
      <c r="L286"/>
      <c r="M286"/>
    </row>
    <row r="287" spans="1:13" x14ac:dyDescent="0.25">
      <c r="A287"/>
      <c r="B287"/>
      <c r="D287"/>
      <c r="E287"/>
      <c r="F287"/>
      <c r="G287"/>
      <c r="H287"/>
      <c r="I287"/>
      <c r="J287"/>
      <c r="K287"/>
      <c r="L287"/>
      <c r="M287"/>
    </row>
    <row r="288" spans="1:13" x14ac:dyDescent="0.25">
      <c r="A288"/>
      <c r="B288"/>
      <c r="D288"/>
      <c r="E288"/>
      <c r="F288"/>
      <c r="G288"/>
      <c r="H288"/>
      <c r="I288"/>
      <c r="J288"/>
      <c r="K288"/>
      <c r="L288"/>
      <c r="M288"/>
    </row>
    <row r="289" spans="1:13" x14ac:dyDescent="0.25">
      <c r="A289"/>
      <c r="B289"/>
      <c r="D289"/>
      <c r="E289"/>
      <c r="F289"/>
      <c r="G289"/>
      <c r="H289"/>
      <c r="I289"/>
      <c r="J289"/>
      <c r="K289"/>
      <c r="L289"/>
      <c r="M289"/>
    </row>
    <row r="290" spans="1:13" x14ac:dyDescent="0.25">
      <c r="A290"/>
      <c r="B290"/>
      <c r="D290"/>
      <c r="E290"/>
      <c r="F290"/>
      <c r="G290"/>
      <c r="H290"/>
      <c r="I290"/>
      <c r="J290"/>
      <c r="K290"/>
      <c r="L290"/>
      <c r="M290"/>
    </row>
    <row r="291" spans="1:13" x14ac:dyDescent="0.25">
      <c r="A291"/>
      <c r="B291"/>
      <c r="D291"/>
      <c r="E291"/>
      <c r="F291"/>
      <c r="G291"/>
      <c r="H291"/>
      <c r="I291"/>
      <c r="J291"/>
      <c r="K291"/>
      <c r="L291"/>
      <c r="M291"/>
    </row>
    <row r="292" spans="1:13" x14ac:dyDescent="0.25">
      <c r="A292"/>
      <c r="B292"/>
      <c r="D292"/>
      <c r="E292"/>
      <c r="F292"/>
      <c r="G292"/>
      <c r="H292"/>
      <c r="I292"/>
      <c r="J292"/>
      <c r="K292"/>
      <c r="L292"/>
      <c r="M292"/>
    </row>
    <row r="293" spans="1:13" x14ac:dyDescent="0.25">
      <c r="A293"/>
      <c r="B293"/>
      <c r="D293"/>
      <c r="E293"/>
      <c r="F293"/>
      <c r="G293"/>
      <c r="H293"/>
      <c r="I293"/>
      <c r="J293"/>
      <c r="K293"/>
      <c r="L293"/>
      <c r="M293"/>
    </row>
    <row r="294" spans="1:13" x14ac:dyDescent="0.25">
      <c r="A294"/>
      <c r="B294"/>
      <c r="D294"/>
      <c r="E294"/>
      <c r="F294"/>
      <c r="G294"/>
      <c r="H294"/>
      <c r="I294"/>
      <c r="J294"/>
      <c r="K294"/>
      <c r="L294"/>
      <c r="M294"/>
    </row>
    <row r="295" spans="1:13" x14ac:dyDescent="0.25">
      <c r="A295"/>
      <c r="B295"/>
      <c r="D295"/>
      <c r="E295"/>
      <c r="F295"/>
      <c r="G295"/>
      <c r="H295"/>
      <c r="I295"/>
      <c r="J295"/>
      <c r="K295"/>
      <c r="L295"/>
      <c r="M295"/>
    </row>
    <row r="296" spans="1:13" x14ac:dyDescent="0.25">
      <c r="A296"/>
      <c r="B296"/>
      <c r="D296"/>
      <c r="E296"/>
      <c r="F296"/>
      <c r="G296"/>
      <c r="H296"/>
      <c r="I296"/>
      <c r="J296"/>
      <c r="K296"/>
      <c r="L296"/>
      <c r="M296"/>
    </row>
    <row r="297" spans="1:13" x14ac:dyDescent="0.25">
      <c r="A297"/>
      <c r="B297"/>
      <c r="D297"/>
      <c r="E297"/>
      <c r="F297"/>
      <c r="G297"/>
      <c r="H297"/>
      <c r="I297"/>
      <c r="J297"/>
      <c r="K297"/>
      <c r="L297"/>
      <c r="M297"/>
    </row>
    <row r="298" spans="1:13" x14ac:dyDescent="0.25">
      <c r="A298"/>
      <c r="B298"/>
      <c r="D298"/>
      <c r="E298"/>
      <c r="F298"/>
      <c r="G298"/>
      <c r="H298"/>
      <c r="I298"/>
      <c r="J298"/>
      <c r="K298"/>
      <c r="L298"/>
      <c r="M298"/>
    </row>
    <row r="299" spans="1:13" x14ac:dyDescent="0.25">
      <c r="A299"/>
      <c r="B299"/>
      <c r="D299"/>
      <c r="E299"/>
      <c r="F299"/>
      <c r="G299"/>
      <c r="H299"/>
      <c r="I299"/>
      <c r="J299"/>
      <c r="K299"/>
      <c r="L299"/>
      <c r="M299"/>
    </row>
    <row r="300" spans="1:13" x14ac:dyDescent="0.25">
      <c r="A300"/>
      <c r="B300"/>
      <c r="D300"/>
      <c r="E300"/>
      <c r="F300"/>
      <c r="G300"/>
      <c r="H300"/>
      <c r="I300"/>
      <c r="J300"/>
      <c r="K300"/>
      <c r="L300"/>
      <c r="M300"/>
    </row>
    <row r="301" spans="1:13" x14ac:dyDescent="0.25">
      <c r="A301"/>
      <c r="B301"/>
      <c r="D301"/>
      <c r="E301"/>
      <c r="F301"/>
      <c r="G301"/>
      <c r="H301"/>
      <c r="I301"/>
      <c r="J301"/>
      <c r="K301"/>
      <c r="L301"/>
      <c r="M301"/>
    </row>
    <row r="302" spans="1:13" x14ac:dyDescent="0.25">
      <c r="A302"/>
      <c r="B302"/>
      <c r="D302"/>
      <c r="E302"/>
      <c r="F302"/>
      <c r="G302"/>
      <c r="H302"/>
      <c r="I302"/>
      <c r="J302"/>
      <c r="K302"/>
      <c r="L302"/>
      <c r="M302"/>
    </row>
    <row r="303" spans="1:13" x14ac:dyDescent="0.25">
      <c r="A303"/>
      <c r="B303"/>
      <c r="D303"/>
      <c r="E303"/>
      <c r="F303"/>
      <c r="G303"/>
      <c r="H303"/>
      <c r="I303"/>
      <c r="J303"/>
      <c r="K303"/>
      <c r="L303"/>
      <c r="M303"/>
    </row>
    <row r="304" spans="1:13" x14ac:dyDescent="0.25">
      <c r="A304"/>
      <c r="B304"/>
      <c r="D304"/>
      <c r="E304"/>
      <c r="F304"/>
      <c r="G304"/>
      <c r="H304"/>
      <c r="I304"/>
      <c r="J304"/>
      <c r="K304"/>
      <c r="L304"/>
      <c r="M304"/>
    </row>
    <row r="305" spans="1:13" x14ac:dyDescent="0.25">
      <c r="A305"/>
      <c r="B305"/>
      <c r="D305"/>
      <c r="E305"/>
      <c r="F305"/>
      <c r="G305"/>
      <c r="H305"/>
      <c r="I305"/>
      <c r="J305"/>
      <c r="K305"/>
      <c r="L305"/>
      <c r="M305"/>
    </row>
    <row r="306" spans="1:13" x14ac:dyDescent="0.25">
      <c r="A306"/>
      <c r="B306"/>
      <c r="D306"/>
      <c r="E306"/>
      <c r="F306"/>
      <c r="G306"/>
      <c r="H306"/>
      <c r="I306"/>
      <c r="J306"/>
      <c r="K306"/>
      <c r="L306"/>
      <c r="M306"/>
    </row>
    <row r="307" spans="1:13" x14ac:dyDescent="0.25">
      <c r="A307"/>
      <c r="B307"/>
      <c r="D307"/>
      <c r="E307"/>
      <c r="F307"/>
      <c r="G307"/>
      <c r="H307"/>
      <c r="I307"/>
      <c r="J307"/>
      <c r="K307"/>
      <c r="L307"/>
      <c r="M307"/>
    </row>
    <row r="308" spans="1:13" x14ac:dyDescent="0.25">
      <c r="A308"/>
      <c r="B308"/>
      <c r="D308"/>
      <c r="E308"/>
      <c r="F308"/>
      <c r="G308"/>
      <c r="H308"/>
      <c r="I308"/>
      <c r="J308"/>
      <c r="K308"/>
      <c r="L308"/>
      <c r="M308"/>
    </row>
    <row r="309" spans="1:13" x14ac:dyDescent="0.25">
      <c r="A309"/>
      <c r="B309"/>
      <c r="D309"/>
      <c r="E309"/>
      <c r="F309"/>
      <c r="G309"/>
      <c r="H309"/>
      <c r="I309"/>
      <c r="J309"/>
      <c r="K309"/>
      <c r="L309"/>
      <c r="M309"/>
    </row>
    <row r="310" spans="1:13" x14ac:dyDescent="0.25">
      <c r="A310"/>
      <c r="B310"/>
      <c r="D310"/>
      <c r="E310"/>
      <c r="F310"/>
      <c r="G310"/>
      <c r="H310"/>
      <c r="I310"/>
      <c r="J310"/>
      <c r="K310"/>
      <c r="L310"/>
      <c r="M310"/>
    </row>
    <row r="311" spans="1:13" x14ac:dyDescent="0.25">
      <c r="A311"/>
      <c r="B311"/>
      <c r="D311"/>
      <c r="E311"/>
      <c r="F311"/>
      <c r="G311"/>
      <c r="H311"/>
      <c r="I311"/>
      <c r="J311"/>
      <c r="K311"/>
      <c r="L311"/>
      <c r="M311"/>
    </row>
    <row r="312" spans="1:13" x14ac:dyDescent="0.25">
      <c r="A312"/>
      <c r="B312"/>
      <c r="D312"/>
      <c r="E312"/>
      <c r="F312"/>
      <c r="G312"/>
      <c r="H312"/>
      <c r="I312"/>
      <c r="J312"/>
      <c r="K312"/>
      <c r="L312"/>
      <c r="M312"/>
    </row>
    <row r="313" spans="1:13" x14ac:dyDescent="0.25">
      <c r="A313"/>
      <c r="B313"/>
      <c r="D313"/>
      <c r="E313"/>
      <c r="F313"/>
      <c r="G313"/>
      <c r="H313"/>
      <c r="I313"/>
      <c r="J313"/>
      <c r="K313"/>
      <c r="L313"/>
      <c r="M313"/>
    </row>
    <row r="314" spans="1:13" x14ac:dyDescent="0.25">
      <c r="A314"/>
      <c r="B314"/>
      <c r="D314"/>
      <c r="E314"/>
      <c r="F314"/>
      <c r="G314"/>
      <c r="H314"/>
      <c r="I314"/>
      <c r="J314"/>
      <c r="K314"/>
      <c r="L314"/>
      <c r="M314"/>
    </row>
    <row r="315" spans="1:13" x14ac:dyDescent="0.25">
      <c r="A315"/>
      <c r="B315"/>
      <c r="D315"/>
      <c r="E315"/>
      <c r="F315"/>
      <c r="G315"/>
      <c r="H315"/>
      <c r="I315"/>
      <c r="J315"/>
      <c r="K315"/>
      <c r="L315"/>
      <c r="M315"/>
    </row>
    <row r="316" spans="1:13" x14ac:dyDescent="0.25">
      <c r="A316"/>
      <c r="B316"/>
      <c r="D316"/>
      <c r="E316"/>
      <c r="F316"/>
      <c r="G316"/>
      <c r="H316"/>
      <c r="I316"/>
      <c r="J316"/>
      <c r="K316"/>
      <c r="L316"/>
      <c r="M316"/>
    </row>
    <row r="317" spans="1:13" x14ac:dyDescent="0.25">
      <c r="A317"/>
      <c r="B317"/>
      <c r="D317"/>
      <c r="E317"/>
      <c r="F317"/>
      <c r="G317"/>
      <c r="H317"/>
      <c r="I317"/>
      <c r="J317"/>
      <c r="K317"/>
      <c r="L317"/>
      <c r="M317"/>
    </row>
    <row r="318" spans="1:13" x14ac:dyDescent="0.25">
      <c r="A318"/>
      <c r="B318"/>
      <c r="D318"/>
      <c r="E318"/>
      <c r="F318"/>
      <c r="G318"/>
      <c r="H318"/>
      <c r="I318"/>
      <c r="J318"/>
      <c r="K318"/>
      <c r="L318"/>
      <c r="M318"/>
    </row>
    <row r="319" spans="1:13" x14ac:dyDescent="0.25">
      <c r="A319"/>
      <c r="B319"/>
      <c r="D319"/>
      <c r="E319"/>
      <c r="F319"/>
      <c r="G319"/>
      <c r="H319"/>
      <c r="I319"/>
      <c r="J319"/>
      <c r="K319"/>
      <c r="L319"/>
      <c r="M319"/>
    </row>
    <row r="320" spans="1:13" x14ac:dyDescent="0.25">
      <c r="A320"/>
      <c r="B320"/>
      <c r="D320"/>
      <c r="E320"/>
      <c r="F320"/>
      <c r="G320"/>
      <c r="H320"/>
      <c r="I320"/>
      <c r="J320"/>
      <c r="K320"/>
      <c r="L320"/>
      <c r="M320"/>
    </row>
    <row r="321" spans="1:13" x14ac:dyDescent="0.25">
      <c r="A321"/>
      <c r="B321"/>
      <c r="D321"/>
      <c r="E321"/>
      <c r="F321"/>
      <c r="G321"/>
      <c r="H321"/>
      <c r="I321"/>
      <c r="J321"/>
      <c r="K321"/>
      <c r="L321"/>
      <c r="M321"/>
    </row>
    <row r="322" spans="1:13" x14ac:dyDescent="0.25">
      <c r="A322"/>
      <c r="B322"/>
      <c r="D322"/>
      <c r="E322"/>
      <c r="F322"/>
      <c r="G322"/>
      <c r="H322"/>
      <c r="I322"/>
      <c r="J322"/>
      <c r="K322"/>
      <c r="L322"/>
      <c r="M322"/>
    </row>
    <row r="323" spans="1:13" x14ac:dyDescent="0.25">
      <c r="A323"/>
      <c r="B323"/>
      <c r="D323"/>
      <c r="E323"/>
      <c r="F323"/>
      <c r="G323"/>
      <c r="H323"/>
      <c r="I323"/>
      <c r="J323"/>
      <c r="K323"/>
      <c r="L323"/>
      <c r="M323"/>
    </row>
    <row r="324" spans="1:13" x14ac:dyDescent="0.25">
      <c r="A324"/>
      <c r="B324"/>
      <c r="D324"/>
      <c r="E324"/>
      <c r="F324"/>
      <c r="G324"/>
      <c r="H324"/>
      <c r="I324"/>
      <c r="J324"/>
      <c r="K324"/>
      <c r="L324"/>
      <c r="M324"/>
    </row>
    <row r="325" spans="1:13" x14ac:dyDescent="0.25">
      <c r="A325"/>
      <c r="B325"/>
      <c r="D325"/>
      <c r="E325"/>
      <c r="F325"/>
      <c r="G325"/>
      <c r="H325"/>
      <c r="I325"/>
      <c r="J325"/>
      <c r="K325"/>
      <c r="L325"/>
      <c r="M325"/>
    </row>
    <row r="326" spans="1:13" x14ac:dyDescent="0.25">
      <c r="A326"/>
      <c r="B326"/>
      <c r="D326"/>
      <c r="E326"/>
      <c r="F326"/>
      <c r="G326"/>
      <c r="H326"/>
      <c r="I326"/>
      <c r="J326"/>
      <c r="K326"/>
      <c r="L326"/>
      <c r="M326"/>
    </row>
    <row r="327" spans="1:13" x14ac:dyDescent="0.25">
      <c r="A327"/>
      <c r="B327"/>
      <c r="D327"/>
      <c r="E327"/>
      <c r="F327"/>
      <c r="G327"/>
      <c r="H327"/>
      <c r="I327"/>
      <c r="J327"/>
      <c r="K327"/>
      <c r="L327"/>
      <c r="M327"/>
    </row>
    <row r="328" spans="1:13" x14ac:dyDescent="0.25">
      <c r="A328"/>
      <c r="B328"/>
      <c r="D328"/>
      <c r="E328"/>
      <c r="F328"/>
      <c r="G328"/>
      <c r="H328"/>
      <c r="I328"/>
      <c r="J328"/>
      <c r="K328"/>
      <c r="L328"/>
      <c r="M328"/>
    </row>
    <row r="329" spans="1:13" x14ac:dyDescent="0.25">
      <c r="A329"/>
      <c r="B329"/>
      <c r="D329"/>
      <c r="E329"/>
      <c r="F329"/>
      <c r="G329"/>
      <c r="H329"/>
      <c r="I329"/>
      <c r="J329"/>
      <c r="K329"/>
      <c r="L329"/>
      <c r="M329"/>
    </row>
    <row r="330" spans="1:13" x14ac:dyDescent="0.25">
      <c r="A330"/>
      <c r="B330"/>
      <c r="D330"/>
      <c r="E330"/>
      <c r="F330"/>
      <c r="G330"/>
      <c r="H330"/>
      <c r="I330"/>
      <c r="J330"/>
      <c r="K330"/>
      <c r="L330"/>
      <c r="M330"/>
    </row>
    <row r="331" spans="1:13" x14ac:dyDescent="0.25">
      <c r="A331"/>
      <c r="B331"/>
      <c r="D331"/>
      <c r="E331"/>
      <c r="F331"/>
      <c r="G331"/>
      <c r="H331"/>
      <c r="I331"/>
      <c r="J331"/>
      <c r="K331"/>
      <c r="L331"/>
      <c r="M331"/>
    </row>
    <row r="332" spans="1:13" x14ac:dyDescent="0.25">
      <c r="A332"/>
      <c r="B332"/>
      <c r="D332"/>
      <c r="E332"/>
      <c r="F332"/>
      <c r="G332"/>
      <c r="H332"/>
      <c r="I332"/>
      <c r="J332"/>
      <c r="K332"/>
      <c r="L332"/>
      <c r="M332"/>
    </row>
    <row r="333" spans="1:13" x14ac:dyDescent="0.25">
      <c r="A333"/>
      <c r="B333"/>
      <c r="D333"/>
      <c r="E333"/>
      <c r="F333"/>
      <c r="G333"/>
      <c r="H333"/>
      <c r="I333"/>
      <c r="J333"/>
      <c r="K333"/>
      <c r="L333"/>
      <c r="M333"/>
    </row>
    <row r="334" spans="1:13" x14ac:dyDescent="0.25">
      <c r="A334"/>
      <c r="B334"/>
      <c r="D334"/>
      <c r="E334"/>
      <c r="F334"/>
      <c r="G334"/>
      <c r="H334"/>
      <c r="I334"/>
      <c r="J334"/>
      <c r="K334"/>
      <c r="L334"/>
      <c r="M334"/>
    </row>
    <row r="335" spans="1:13" x14ac:dyDescent="0.25">
      <c r="A335"/>
      <c r="B335"/>
      <c r="D335"/>
      <c r="E335"/>
      <c r="F335"/>
      <c r="G335"/>
      <c r="H335"/>
      <c r="I335"/>
      <c r="J335"/>
      <c r="K335"/>
      <c r="L335"/>
      <c r="M335"/>
    </row>
    <row r="336" spans="1:13" x14ac:dyDescent="0.25">
      <c r="A336"/>
      <c r="B336"/>
      <c r="D336"/>
      <c r="E336"/>
      <c r="F336"/>
      <c r="G336"/>
      <c r="H336"/>
      <c r="I336"/>
      <c r="J336"/>
      <c r="K336"/>
      <c r="L336"/>
      <c r="M336"/>
    </row>
    <row r="337" spans="1:13" x14ac:dyDescent="0.25">
      <c r="A337"/>
      <c r="B337"/>
      <c r="D337"/>
      <c r="E337"/>
      <c r="F337"/>
      <c r="G337"/>
      <c r="H337"/>
      <c r="I337"/>
      <c r="J337"/>
      <c r="K337"/>
      <c r="L337"/>
      <c r="M337"/>
    </row>
    <row r="338" spans="1:13" x14ac:dyDescent="0.25">
      <c r="A338"/>
      <c r="B338"/>
      <c r="D338"/>
      <c r="E338"/>
      <c r="F338"/>
      <c r="G338"/>
      <c r="H338"/>
      <c r="I338"/>
      <c r="J338"/>
      <c r="K338"/>
      <c r="L338"/>
      <c r="M338"/>
    </row>
    <row r="339" spans="1:13" x14ac:dyDescent="0.25">
      <c r="A339"/>
      <c r="B339"/>
      <c r="D339"/>
      <c r="E339"/>
      <c r="F339"/>
      <c r="G339"/>
      <c r="H339"/>
      <c r="I339"/>
      <c r="J339"/>
      <c r="K339"/>
      <c r="L339"/>
      <c r="M339"/>
    </row>
    <row r="340" spans="1:13" x14ac:dyDescent="0.25">
      <c r="A340"/>
      <c r="B340"/>
      <c r="D340"/>
      <c r="E340"/>
      <c r="F340"/>
      <c r="G340"/>
      <c r="H340"/>
      <c r="I340"/>
      <c r="J340"/>
      <c r="K340"/>
      <c r="L340"/>
      <c r="M340"/>
    </row>
    <row r="341" spans="1:13" x14ac:dyDescent="0.25">
      <c r="A341"/>
      <c r="B341"/>
      <c r="D341"/>
      <c r="E341"/>
      <c r="F341"/>
      <c r="G341"/>
      <c r="H341"/>
      <c r="I341"/>
      <c r="J341"/>
      <c r="K341"/>
      <c r="L341"/>
      <c r="M341"/>
    </row>
    <row r="342" spans="1:13" x14ac:dyDescent="0.25">
      <c r="A342"/>
      <c r="B342"/>
      <c r="D342"/>
      <c r="E342"/>
      <c r="F342"/>
      <c r="G342"/>
      <c r="H342"/>
      <c r="I342"/>
      <c r="J342"/>
      <c r="K342"/>
      <c r="L342"/>
      <c r="M342"/>
    </row>
    <row r="343" spans="1:13" x14ac:dyDescent="0.25">
      <c r="A343"/>
      <c r="B343"/>
      <c r="D343"/>
      <c r="E343"/>
      <c r="F343"/>
      <c r="G343"/>
      <c r="H343"/>
      <c r="I343"/>
      <c r="J343"/>
      <c r="K343"/>
      <c r="L343"/>
      <c r="M343"/>
    </row>
    <row r="344" spans="1:13" x14ac:dyDescent="0.25">
      <c r="A344"/>
      <c r="B344"/>
      <c r="D344"/>
      <c r="E344"/>
      <c r="F344"/>
      <c r="G344"/>
      <c r="H344"/>
      <c r="I344"/>
      <c r="J344"/>
      <c r="K344"/>
      <c r="L344"/>
      <c r="M344"/>
    </row>
    <row r="345" spans="1:13" x14ac:dyDescent="0.25">
      <c r="A345"/>
      <c r="B345"/>
      <c r="D345"/>
      <c r="E345"/>
      <c r="F345"/>
      <c r="G345"/>
      <c r="H345"/>
      <c r="I345"/>
      <c r="J345"/>
      <c r="K345"/>
      <c r="L345"/>
      <c r="M345"/>
    </row>
    <row r="346" spans="1:13" x14ac:dyDescent="0.25">
      <c r="A346"/>
      <c r="B346"/>
      <c r="D346"/>
      <c r="E346"/>
      <c r="F346"/>
      <c r="G346"/>
      <c r="H346"/>
      <c r="I346"/>
      <c r="J346"/>
      <c r="K346"/>
      <c r="L346"/>
      <c r="M346"/>
    </row>
    <row r="347" spans="1:13" x14ac:dyDescent="0.25">
      <c r="A347"/>
      <c r="B347"/>
      <c r="D347"/>
      <c r="E347"/>
      <c r="F347"/>
      <c r="G347"/>
      <c r="H347"/>
      <c r="I347"/>
      <c r="J347"/>
      <c r="K347"/>
      <c r="L347"/>
      <c r="M347"/>
    </row>
    <row r="348" spans="1:13" x14ac:dyDescent="0.25">
      <c r="A348"/>
      <c r="B348"/>
      <c r="D348"/>
      <c r="E348"/>
      <c r="F348"/>
      <c r="G348"/>
      <c r="H348"/>
      <c r="I348"/>
      <c r="J348"/>
      <c r="K348"/>
      <c r="L348"/>
      <c r="M348"/>
    </row>
    <row r="349" spans="1:13" x14ac:dyDescent="0.25">
      <c r="A349"/>
      <c r="B349"/>
      <c r="D349"/>
      <c r="E349"/>
      <c r="F349"/>
      <c r="G349"/>
      <c r="H349"/>
      <c r="I349"/>
      <c r="J349"/>
      <c r="K349"/>
      <c r="L349"/>
      <c r="M349"/>
    </row>
    <row r="350" spans="1:13" x14ac:dyDescent="0.25">
      <c r="A350"/>
      <c r="B350"/>
      <c r="D350"/>
      <c r="E350"/>
      <c r="F350"/>
      <c r="G350"/>
      <c r="H350"/>
      <c r="I350"/>
      <c r="J350"/>
      <c r="K350"/>
      <c r="L350"/>
      <c r="M350"/>
    </row>
    <row r="351" spans="1:13" x14ac:dyDescent="0.25">
      <c r="A351"/>
      <c r="B351"/>
      <c r="D351"/>
      <c r="E351"/>
      <c r="F351"/>
      <c r="G351"/>
      <c r="H351"/>
      <c r="I351"/>
      <c r="J351"/>
      <c r="K351"/>
      <c r="L351"/>
      <c r="M351"/>
    </row>
    <row r="352" spans="1:13" x14ac:dyDescent="0.25">
      <c r="A352"/>
      <c r="B352"/>
      <c r="D352"/>
      <c r="E352"/>
      <c r="F352"/>
      <c r="G352"/>
      <c r="H352"/>
      <c r="I352"/>
      <c r="J352"/>
      <c r="K352"/>
      <c r="L352"/>
      <c r="M352"/>
    </row>
    <row r="353" spans="1:13" x14ac:dyDescent="0.25">
      <c r="A353"/>
      <c r="B353"/>
      <c r="D353"/>
      <c r="E353"/>
      <c r="F353"/>
      <c r="G353"/>
      <c r="H353"/>
      <c r="I353"/>
      <c r="J353"/>
      <c r="K353"/>
      <c r="L353"/>
      <c r="M353"/>
    </row>
    <row r="354" spans="1:13" x14ac:dyDescent="0.25">
      <c r="A354"/>
      <c r="B354"/>
      <c r="D354"/>
      <c r="E354"/>
      <c r="F354"/>
      <c r="G354"/>
      <c r="H354"/>
      <c r="I354"/>
      <c r="J354"/>
      <c r="K354"/>
      <c r="L354"/>
      <c r="M354"/>
    </row>
    <row r="355" spans="1:13" x14ac:dyDescent="0.25">
      <c r="A355"/>
      <c r="B355"/>
      <c r="D355"/>
      <c r="E355"/>
      <c r="F355"/>
      <c r="G355"/>
      <c r="H355"/>
      <c r="I355"/>
      <c r="J355"/>
      <c r="K355"/>
      <c r="L355"/>
      <c r="M355"/>
    </row>
    <row r="356" spans="1:13" x14ac:dyDescent="0.25">
      <c r="A356"/>
      <c r="B356"/>
      <c r="D356"/>
      <c r="E356"/>
      <c r="F356"/>
      <c r="G356"/>
      <c r="H356"/>
      <c r="I356"/>
      <c r="J356"/>
      <c r="K356"/>
      <c r="L356"/>
      <c r="M356"/>
    </row>
    <row r="357" spans="1:13" x14ac:dyDescent="0.25">
      <c r="A357"/>
      <c r="B357"/>
      <c r="D357"/>
      <c r="E357"/>
      <c r="F357"/>
      <c r="G357"/>
      <c r="H357"/>
      <c r="I357"/>
      <c r="J357"/>
      <c r="K357"/>
      <c r="L357"/>
      <c r="M357"/>
    </row>
    <row r="358" spans="1:13" x14ac:dyDescent="0.25">
      <c r="A358"/>
      <c r="B358"/>
      <c r="D358"/>
      <c r="E358"/>
      <c r="F358"/>
      <c r="G358"/>
      <c r="H358"/>
      <c r="I358"/>
      <c r="J358"/>
      <c r="K358"/>
      <c r="L358"/>
      <c r="M358"/>
    </row>
    <row r="359" spans="1:13" x14ac:dyDescent="0.25">
      <c r="A359"/>
      <c r="B359"/>
      <c r="D359"/>
      <c r="E359"/>
      <c r="F359"/>
      <c r="G359"/>
      <c r="H359"/>
      <c r="I359"/>
      <c r="J359"/>
      <c r="K359"/>
      <c r="L359"/>
      <c r="M359"/>
    </row>
    <row r="360" spans="1:13" x14ac:dyDescent="0.25">
      <c r="A360"/>
      <c r="B360"/>
      <c r="D360"/>
      <c r="E360"/>
      <c r="F360"/>
      <c r="G360"/>
      <c r="H360"/>
      <c r="I360"/>
      <c r="J360"/>
      <c r="K360"/>
      <c r="L360"/>
      <c r="M360"/>
    </row>
    <row r="361" spans="1:13" x14ac:dyDescent="0.25">
      <c r="A361"/>
      <c r="B361"/>
      <c r="D361"/>
      <c r="E361"/>
      <c r="F361"/>
      <c r="G361"/>
      <c r="H361"/>
      <c r="I361"/>
      <c r="J361"/>
      <c r="K361"/>
      <c r="L361"/>
      <c r="M361"/>
    </row>
    <row r="362" spans="1:13" x14ac:dyDescent="0.25">
      <c r="A362"/>
      <c r="B362"/>
      <c r="D362"/>
      <c r="E362"/>
      <c r="F362"/>
      <c r="G362"/>
      <c r="H362"/>
      <c r="I362"/>
      <c r="J362"/>
      <c r="K362"/>
      <c r="L362"/>
      <c r="M362"/>
    </row>
    <row r="363" spans="1:13" x14ac:dyDescent="0.25">
      <c r="A363"/>
      <c r="B363"/>
      <c r="D363"/>
      <c r="E363"/>
      <c r="F363"/>
      <c r="G363"/>
      <c r="H363"/>
      <c r="I363"/>
      <c r="J363"/>
      <c r="K363"/>
      <c r="L363"/>
      <c r="M363"/>
    </row>
    <row r="364" spans="1:13" x14ac:dyDescent="0.25">
      <c r="A364"/>
      <c r="B364"/>
      <c r="D364"/>
      <c r="E364"/>
      <c r="F364"/>
      <c r="G364"/>
      <c r="H364"/>
      <c r="I364"/>
      <c r="J364"/>
      <c r="K364"/>
      <c r="L364"/>
      <c r="M364"/>
    </row>
    <row r="365" spans="1:13" x14ac:dyDescent="0.25">
      <c r="A365"/>
      <c r="B365"/>
      <c r="D365"/>
      <c r="E365"/>
      <c r="F365"/>
      <c r="G365"/>
      <c r="H365"/>
      <c r="I365"/>
      <c r="J365"/>
      <c r="K365"/>
      <c r="L365"/>
      <c r="M365"/>
    </row>
    <row r="366" spans="1:13" x14ac:dyDescent="0.25">
      <c r="A366"/>
      <c r="B366"/>
      <c r="D366"/>
      <c r="E366"/>
      <c r="F366"/>
      <c r="G366"/>
      <c r="H366"/>
      <c r="I366"/>
      <c r="J366"/>
      <c r="K366"/>
      <c r="L366"/>
      <c r="M366"/>
    </row>
    <row r="367" spans="1:13" x14ac:dyDescent="0.25">
      <c r="A367"/>
      <c r="B367"/>
      <c r="D367"/>
      <c r="E367"/>
      <c r="F367"/>
      <c r="G367"/>
      <c r="H367"/>
      <c r="I367"/>
      <c r="J367"/>
      <c r="K367"/>
      <c r="L367"/>
      <c r="M367"/>
    </row>
    <row r="368" spans="1:13" x14ac:dyDescent="0.25">
      <c r="A368"/>
      <c r="B368"/>
      <c r="D368"/>
      <c r="E368"/>
      <c r="F368"/>
      <c r="G368"/>
      <c r="H368"/>
      <c r="I368"/>
      <c r="J368"/>
      <c r="K368"/>
      <c r="L368"/>
      <c r="M368"/>
    </row>
    <row r="369" spans="1:13" x14ac:dyDescent="0.25">
      <c r="A369"/>
      <c r="B369"/>
      <c r="D369"/>
      <c r="E369"/>
      <c r="F369"/>
      <c r="G369"/>
      <c r="H369"/>
      <c r="I369"/>
      <c r="J369"/>
      <c r="K369"/>
      <c r="L369"/>
      <c r="M369"/>
    </row>
    <row r="370" spans="1:13" x14ac:dyDescent="0.25">
      <c r="A370"/>
      <c r="B370"/>
      <c r="D370"/>
      <c r="E370"/>
      <c r="F370"/>
      <c r="G370"/>
      <c r="H370"/>
      <c r="I370"/>
      <c r="J370"/>
      <c r="K370"/>
      <c r="L370"/>
      <c r="M370"/>
    </row>
    <row r="371" spans="1:13" x14ac:dyDescent="0.25">
      <c r="A371"/>
      <c r="B371"/>
      <c r="D371"/>
      <c r="E371"/>
      <c r="F371"/>
      <c r="G371"/>
      <c r="H371"/>
      <c r="I371"/>
      <c r="J371"/>
      <c r="K371"/>
      <c r="L371"/>
      <c r="M371"/>
    </row>
    <row r="372" spans="1:13" x14ac:dyDescent="0.25">
      <c r="A372"/>
      <c r="B372"/>
      <c r="D372"/>
      <c r="E372"/>
      <c r="F372"/>
      <c r="G372"/>
      <c r="H372"/>
      <c r="I372"/>
      <c r="J372"/>
      <c r="K372"/>
      <c r="L372"/>
      <c r="M372"/>
    </row>
    <row r="373" spans="1:13" x14ac:dyDescent="0.25">
      <c r="A373"/>
      <c r="B373"/>
      <c r="D373"/>
      <c r="E373"/>
      <c r="F373"/>
      <c r="G373"/>
      <c r="H373"/>
      <c r="I373"/>
      <c r="J373"/>
      <c r="K373"/>
      <c r="L373"/>
      <c r="M373"/>
    </row>
    <row r="374" spans="1:13" x14ac:dyDescent="0.25">
      <c r="A374"/>
      <c r="B374"/>
      <c r="D374"/>
      <c r="E374"/>
      <c r="F374"/>
      <c r="G374"/>
      <c r="H374"/>
      <c r="I374"/>
      <c r="J374"/>
      <c r="K374"/>
      <c r="L374"/>
      <c r="M374"/>
    </row>
    <row r="375" spans="1:13" x14ac:dyDescent="0.25">
      <c r="A375"/>
      <c r="B375"/>
      <c r="D375"/>
      <c r="E375"/>
      <c r="F375"/>
      <c r="G375"/>
      <c r="H375"/>
      <c r="I375"/>
      <c r="J375"/>
      <c r="K375"/>
      <c r="L375"/>
      <c r="M375"/>
    </row>
    <row r="376" spans="1:13" x14ac:dyDescent="0.25">
      <c r="A376"/>
      <c r="B376"/>
      <c r="D376"/>
      <c r="E376"/>
      <c r="F376"/>
      <c r="G376"/>
      <c r="H376"/>
      <c r="I376"/>
      <c r="J376"/>
      <c r="K376"/>
      <c r="L376"/>
      <c r="M376"/>
    </row>
    <row r="377" spans="1:13" x14ac:dyDescent="0.25">
      <c r="A377"/>
      <c r="B377"/>
      <c r="D377"/>
      <c r="E377"/>
      <c r="F377"/>
      <c r="G377"/>
      <c r="H377"/>
      <c r="I377"/>
      <c r="J377"/>
      <c r="K377"/>
      <c r="L377"/>
      <c r="M377"/>
    </row>
    <row r="378" spans="1:13" x14ac:dyDescent="0.25">
      <c r="A378"/>
      <c r="B378"/>
      <c r="D378"/>
      <c r="E378"/>
      <c r="F378"/>
      <c r="G378"/>
      <c r="H378"/>
      <c r="I378"/>
      <c r="J378"/>
      <c r="K378"/>
      <c r="L378"/>
      <c r="M378"/>
    </row>
    <row r="379" spans="1:13" x14ac:dyDescent="0.25">
      <c r="A379"/>
      <c r="B379"/>
      <c r="D379"/>
      <c r="E379"/>
      <c r="F379"/>
      <c r="G379"/>
      <c r="H379"/>
      <c r="I379"/>
      <c r="J379"/>
      <c r="K379"/>
      <c r="L379"/>
      <c r="M379"/>
    </row>
    <row r="380" spans="1:13" x14ac:dyDescent="0.25">
      <c r="A380"/>
      <c r="B380"/>
      <c r="D380"/>
      <c r="E380"/>
      <c r="F380"/>
      <c r="G380"/>
      <c r="H380"/>
      <c r="I380"/>
      <c r="J380"/>
      <c r="K380"/>
      <c r="L380"/>
      <c r="M380"/>
    </row>
    <row r="381" spans="1:13" x14ac:dyDescent="0.25">
      <c r="A381"/>
      <c r="B381"/>
      <c r="D381"/>
      <c r="E381"/>
      <c r="F381"/>
      <c r="G381"/>
      <c r="H381"/>
      <c r="I381"/>
      <c r="J381"/>
      <c r="K381"/>
      <c r="L381"/>
      <c r="M381"/>
    </row>
    <row r="382" spans="1:13" x14ac:dyDescent="0.25">
      <c r="A382"/>
      <c r="B382"/>
      <c r="D382"/>
      <c r="E382"/>
      <c r="F382"/>
      <c r="G382"/>
      <c r="H382"/>
      <c r="I382"/>
      <c r="J382"/>
      <c r="K382"/>
      <c r="L382"/>
      <c r="M382"/>
    </row>
    <row r="383" spans="1:13" x14ac:dyDescent="0.25">
      <c r="A383"/>
      <c r="B383"/>
      <c r="D383"/>
      <c r="E383"/>
      <c r="F383"/>
      <c r="G383"/>
      <c r="H383"/>
      <c r="I383"/>
      <c r="J383"/>
      <c r="K383"/>
      <c r="L383"/>
      <c r="M383"/>
    </row>
    <row r="384" spans="1:13" x14ac:dyDescent="0.25">
      <c r="A384"/>
      <c r="B384"/>
      <c r="D384"/>
      <c r="E384"/>
      <c r="F384"/>
      <c r="G384"/>
      <c r="H384"/>
      <c r="I384"/>
      <c r="J384"/>
      <c r="K384"/>
      <c r="L384"/>
      <c r="M384"/>
    </row>
    <row r="385" spans="1:13" x14ac:dyDescent="0.25">
      <c r="A385"/>
      <c r="B385"/>
      <c r="D385"/>
      <c r="E385"/>
      <c r="F385"/>
      <c r="G385"/>
      <c r="H385"/>
      <c r="I385"/>
      <c r="J385"/>
      <c r="K385"/>
      <c r="L385"/>
      <c r="M385"/>
    </row>
    <row r="386" spans="1:13" x14ac:dyDescent="0.25">
      <c r="A386"/>
      <c r="B386"/>
      <c r="D386"/>
      <c r="E386"/>
      <c r="F386"/>
      <c r="G386"/>
      <c r="H386"/>
      <c r="I386"/>
      <c r="J386"/>
      <c r="K386"/>
      <c r="L386"/>
      <c r="M386"/>
    </row>
    <row r="387" spans="1:13" x14ac:dyDescent="0.25">
      <c r="A387"/>
      <c r="B387"/>
      <c r="D387"/>
      <c r="E387"/>
      <c r="F387"/>
      <c r="G387"/>
      <c r="H387"/>
      <c r="I387"/>
      <c r="J387"/>
      <c r="K387"/>
      <c r="L387"/>
      <c r="M387"/>
    </row>
    <row r="388" spans="1:13" x14ac:dyDescent="0.25">
      <c r="A388"/>
      <c r="B388"/>
      <c r="D388"/>
      <c r="E388"/>
      <c r="F388"/>
      <c r="G388"/>
      <c r="H388"/>
      <c r="I388"/>
      <c r="J388"/>
      <c r="K388"/>
      <c r="L388"/>
      <c r="M388"/>
    </row>
    <row r="389" spans="1:13" x14ac:dyDescent="0.25">
      <c r="A389"/>
      <c r="B389"/>
      <c r="D389"/>
      <c r="E389"/>
      <c r="F389"/>
      <c r="G389"/>
      <c r="H389"/>
      <c r="I389"/>
      <c r="J389"/>
      <c r="K389"/>
      <c r="L389"/>
      <c r="M389"/>
    </row>
    <row r="390" spans="1:13" x14ac:dyDescent="0.25">
      <c r="A390"/>
      <c r="B390"/>
      <c r="D390"/>
      <c r="E390"/>
      <c r="F390"/>
      <c r="G390"/>
      <c r="H390"/>
      <c r="I390"/>
      <c r="J390"/>
      <c r="K390"/>
      <c r="L390"/>
      <c r="M390"/>
    </row>
    <row r="391" spans="1:13" x14ac:dyDescent="0.25">
      <c r="A391"/>
      <c r="B391"/>
      <c r="D391"/>
      <c r="E391"/>
      <c r="F391"/>
      <c r="G391"/>
      <c r="H391"/>
      <c r="I391"/>
      <c r="J391"/>
      <c r="K391"/>
      <c r="L391"/>
      <c r="M391"/>
    </row>
    <row r="392" spans="1:13" x14ac:dyDescent="0.25">
      <c r="A392"/>
      <c r="B392"/>
      <c r="D392"/>
      <c r="E392"/>
      <c r="F392"/>
      <c r="G392"/>
      <c r="H392"/>
      <c r="I392"/>
      <c r="J392"/>
      <c r="K392"/>
      <c r="L392"/>
      <c r="M392"/>
    </row>
    <row r="393" spans="1:13" x14ac:dyDescent="0.25">
      <c r="A393"/>
      <c r="B393"/>
      <c r="D393"/>
      <c r="E393"/>
      <c r="F393"/>
      <c r="G393"/>
      <c r="H393"/>
      <c r="I393"/>
      <c r="J393"/>
      <c r="K393"/>
      <c r="L393"/>
      <c r="M393"/>
    </row>
    <row r="394" spans="1:13" x14ac:dyDescent="0.25">
      <c r="A394"/>
      <c r="B394"/>
      <c r="D394"/>
      <c r="E394"/>
      <c r="F394"/>
      <c r="G394"/>
      <c r="H394"/>
      <c r="I394"/>
      <c r="J394"/>
      <c r="K394"/>
      <c r="L394"/>
      <c r="M394"/>
    </row>
    <row r="395" spans="1:13" x14ac:dyDescent="0.25">
      <c r="A395"/>
      <c r="B395"/>
      <c r="D395"/>
      <c r="E395"/>
      <c r="F395"/>
      <c r="G395"/>
      <c r="H395"/>
      <c r="I395"/>
      <c r="J395"/>
      <c r="K395"/>
      <c r="L395"/>
      <c r="M395"/>
    </row>
    <row r="396" spans="1:13" x14ac:dyDescent="0.25">
      <c r="A396"/>
      <c r="B396"/>
      <c r="D396"/>
      <c r="E396"/>
      <c r="F396"/>
      <c r="G396"/>
      <c r="H396"/>
      <c r="I396"/>
      <c r="J396"/>
      <c r="K396"/>
      <c r="L396"/>
      <c r="M396"/>
    </row>
    <row r="397" spans="1:13" x14ac:dyDescent="0.25">
      <c r="A397"/>
      <c r="B397"/>
      <c r="D397"/>
      <c r="E397"/>
      <c r="F397"/>
      <c r="G397"/>
      <c r="H397"/>
      <c r="I397"/>
      <c r="J397"/>
      <c r="K397"/>
      <c r="L397"/>
      <c r="M397"/>
    </row>
    <row r="398" spans="1:13" x14ac:dyDescent="0.25">
      <c r="A398"/>
      <c r="B398"/>
      <c r="D398"/>
      <c r="E398"/>
      <c r="F398"/>
      <c r="G398"/>
      <c r="H398"/>
      <c r="I398"/>
      <c r="J398"/>
      <c r="K398"/>
      <c r="L398"/>
      <c r="M398"/>
    </row>
    <row r="399" spans="1:13" x14ac:dyDescent="0.25">
      <c r="A399"/>
      <c r="B399"/>
      <c r="D399"/>
      <c r="E399"/>
      <c r="F399"/>
      <c r="G399"/>
      <c r="H399"/>
      <c r="I399"/>
      <c r="J399"/>
      <c r="K399"/>
      <c r="L399"/>
      <c r="M399"/>
    </row>
    <row r="400" spans="1:13" x14ac:dyDescent="0.25">
      <c r="A400"/>
      <c r="B400"/>
      <c r="D400"/>
      <c r="E400"/>
      <c r="F400"/>
      <c r="G400"/>
      <c r="H400"/>
      <c r="I400"/>
      <c r="J400"/>
      <c r="K400"/>
      <c r="L400"/>
      <c r="M400"/>
    </row>
    <row r="401" spans="1:13" x14ac:dyDescent="0.25">
      <c r="A401"/>
      <c r="B401"/>
      <c r="D401"/>
      <c r="E401"/>
      <c r="F401"/>
      <c r="G401"/>
      <c r="H401"/>
      <c r="I401"/>
      <c r="J401"/>
      <c r="K401"/>
      <c r="L401"/>
      <c r="M401"/>
    </row>
    <row r="402" spans="1:13" x14ac:dyDescent="0.25">
      <c r="A402"/>
      <c r="B402"/>
      <c r="D402"/>
      <c r="E402"/>
      <c r="F402"/>
      <c r="G402"/>
      <c r="H402"/>
      <c r="I402"/>
      <c r="J402"/>
      <c r="K402"/>
      <c r="L402"/>
      <c r="M402"/>
    </row>
    <row r="403" spans="1:13" x14ac:dyDescent="0.25">
      <c r="A403"/>
      <c r="B403"/>
      <c r="D403"/>
      <c r="E403"/>
      <c r="F403"/>
      <c r="G403"/>
      <c r="H403"/>
      <c r="I403"/>
      <c r="J403"/>
      <c r="K403"/>
      <c r="L403"/>
      <c r="M403"/>
    </row>
    <row r="404" spans="1:13" x14ac:dyDescent="0.25">
      <c r="A404"/>
      <c r="B404"/>
      <c r="D404"/>
      <c r="E404"/>
      <c r="F404"/>
      <c r="G404"/>
      <c r="H404"/>
      <c r="I404"/>
      <c r="J404"/>
      <c r="K404"/>
      <c r="L404"/>
      <c r="M404"/>
    </row>
    <row r="405" spans="1:13" x14ac:dyDescent="0.25">
      <c r="A405"/>
      <c r="B405"/>
      <c r="D405"/>
      <c r="E405"/>
      <c r="F405"/>
      <c r="G405"/>
      <c r="H405"/>
      <c r="I405"/>
      <c r="J405"/>
      <c r="K405"/>
      <c r="L405"/>
      <c r="M405"/>
    </row>
    <row r="406" spans="1:13" x14ac:dyDescent="0.25">
      <c r="A406"/>
      <c r="B406"/>
      <c r="D406"/>
      <c r="E406"/>
      <c r="F406"/>
      <c r="G406"/>
      <c r="H406"/>
      <c r="I406"/>
      <c r="J406"/>
      <c r="K406"/>
      <c r="L406"/>
      <c r="M406"/>
    </row>
    <row r="407" spans="1:13" x14ac:dyDescent="0.25">
      <c r="A407"/>
      <c r="B407"/>
      <c r="D407"/>
      <c r="E407"/>
      <c r="F407"/>
      <c r="G407"/>
      <c r="H407"/>
      <c r="I407"/>
      <c r="J407"/>
      <c r="K407"/>
      <c r="L407"/>
      <c r="M407"/>
    </row>
    <row r="408" spans="1:13" x14ac:dyDescent="0.25">
      <c r="A408"/>
      <c r="B408"/>
      <c r="D408"/>
      <c r="E408"/>
      <c r="F408"/>
      <c r="G408"/>
      <c r="H408"/>
      <c r="I408"/>
      <c r="J408"/>
      <c r="K408"/>
      <c r="L408"/>
      <c r="M408"/>
    </row>
    <row r="409" spans="1:13" x14ac:dyDescent="0.25">
      <c r="A409"/>
      <c r="B409"/>
      <c r="D409"/>
      <c r="E409"/>
      <c r="F409"/>
      <c r="G409"/>
      <c r="H409"/>
      <c r="I409"/>
      <c r="J409"/>
      <c r="K409"/>
      <c r="L409"/>
      <c r="M409"/>
    </row>
    <row r="410" spans="1:13" x14ac:dyDescent="0.25">
      <c r="A410"/>
      <c r="B410"/>
      <c r="D410"/>
      <c r="E410"/>
      <c r="F410"/>
      <c r="G410"/>
      <c r="H410"/>
      <c r="I410"/>
      <c r="J410"/>
      <c r="K410"/>
      <c r="L410"/>
      <c r="M410"/>
    </row>
    <row r="411" spans="1:13" x14ac:dyDescent="0.25">
      <c r="A411"/>
      <c r="B411"/>
      <c r="D411"/>
      <c r="E411"/>
      <c r="F411"/>
      <c r="G411"/>
      <c r="H411"/>
      <c r="I411"/>
      <c r="J411"/>
      <c r="K411"/>
      <c r="L411"/>
      <c r="M411"/>
    </row>
    <row r="412" spans="1:13" x14ac:dyDescent="0.25">
      <c r="A412"/>
      <c r="B412"/>
      <c r="D412"/>
      <c r="E412"/>
      <c r="F412"/>
      <c r="G412"/>
      <c r="H412"/>
      <c r="I412"/>
      <c r="J412"/>
      <c r="K412"/>
      <c r="L412"/>
      <c r="M412"/>
    </row>
    <row r="413" spans="1:13" x14ac:dyDescent="0.25">
      <c r="A413"/>
      <c r="B413"/>
      <c r="D413"/>
      <c r="E413"/>
      <c r="F413"/>
      <c r="G413"/>
      <c r="H413"/>
      <c r="I413"/>
      <c r="J413"/>
      <c r="K413"/>
      <c r="L413"/>
      <c r="M413"/>
    </row>
    <row r="414" spans="1:13" x14ac:dyDescent="0.25">
      <c r="A414"/>
      <c r="B414"/>
      <c r="D414"/>
      <c r="E414"/>
      <c r="F414"/>
      <c r="G414"/>
      <c r="H414"/>
      <c r="I414"/>
      <c r="J414"/>
      <c r="K414"/>
      <c r="L414"/>
      <c r="M414"/>
    </row>
    <row r="415" spans="1:13" x14ac:dyDescent="0.25">
      <c r="A415"/>
      <c r="B415"/>
      <c r="D415"/>
      <c r="E415"/>
      <c r="F415"/>
      <c r="G415"/>
      <c r="H415"/>
      <c r="I415"/>
      <c r="J415"/>
      <c r="K415"/>
      <c r="L415"/>
      <c r="M415"/>
    </row>
    <row r="416" spans="1:13" x14ac:dyDescent="0.25">
      <c r="A416"/>
      <c r="B416"/>
      <c r="D416"/>
      <c r="E416"/>
      <c r="F416"/>
      <c r="G416"/>
      <c r="H416"/>
      <c r="I416"/>
      <c r="J416"/>
      <c r="K416"/>
      <c r="L416"/>
      <c r="M416"/>
    </row>
    <row r="417" spans="1:13" x14ac:dyDescent="0.25">
      <c r="A417"/>
      <c r="B417"/>
      <c r="D417"/>
      <c r="E417"/>
      <c r="F417"/>
      <c r="G417"/>
      <c r="H417"/>
      <c r="I417"/>
      <c r="J417"/>
      <c r="K417"/>
      <c r="L417"/>
      <c r="M417"/>
    </row>
    <row r="418" spans="1:13" x14ac:dyDescent="0.25">
      <c r="A418"/>
      <c r="B418"/>
      <c r="D418"/>
      <c r="E418"/>
      <c r="F418"/>
      <c r="G418"/>
      <c r="H418"/>
      <c r="I418"/>
      <c r="J418"/>
      <c r="K418"/>
      <c r="L418"/>
      <c r="M418"/>
    </row>
    <row r="419" spans="1:13" x14ac:dyDescent="0.25">
      <c r="A419"/>
      <c r="B419"/>
      <c r="D419"/>
      <c r="E419"/>
      <c r="F419"/>
      <c r="G419"/>
      <c r="H419"/>
      <c r="I419"/>
      <c r="J419"/>
      <c r="K419"/>
      <c r="L419"/>
      <c r="M419"/>
    </row>
    <row r="420" spans="1:13" x14ac:dyDescent="0.25">
      <c r="A420"/>
      <c r="B420"/>
      <c r="D420"/>
      <c r="E420"/>
      <c r="F420"/>
      <c r="G420"/>
      <c r="H420"/>
      <c r="I420"/>
      <c r="J420"/>
      <c r="K420"/>
      <c r="L420"/>
      <c r="M420"/>
    </row>
    <row r="421" spans="1:13" x14ac:dyDescent="0.25">
      <c r="A421"/>
      <c r="B421"/>
      <c r="D421"/>
      <c r="E421"/>
      <c r="F421"/>
      <c r="G421"/>
      <c r="H421"/>
      <c r="I421"/>
      <c r="J421"/>
      <c r="K421"/>
      <c r="L421"/>
      <c r="M421"/>
    </row>
    <row r="422" spans="1:13" x14ac:dyDescent="0.25">
      <c r="A422"/>
      <c r="B422"/>
      <c r="D422"/>
      <c r="E422"/>
      <c r="F422"/>
      <c r="G422"/>
      <c r="H422"/>
      <c r="I422"/>
      <c r="J422"/>
      <c r="K422"/>
      <c r="L422"/>
      <c r="M422"/>
    </row>
    <row r="423" spans="1:13" x14ac:dyDescent="0.25">
      <c r="A423"/>
      <c r="B423"/>
      <c r="D423"/>
      <c r="E423"/>
      <c r="F423"/>
      <c r="G423"/>
      <c r="H423"/>
      <c r="I423"/>
      <c r="J423"/>
      <c r="K423"/>
      <c r="L423"/>
      <c r="M423"/>
    </row>
    <row r="424" spans="1:13" x14ac:dyDescent="0.25">
      <c r="A424"/>
      <c r="B424"/>
      <c r="D424"/>
      <c r="E424"/>
      <c r="F424"/>
      <c r="G424"/>
      <c r="H424"/>
      <c r="I424"/>
      <c r="J424"/>
      <c r="K424"/>
      <c r="L424"/>
      <c r="M424"/>
    </row>
    <row r="425" spans="1:13" x14ac:dyDescent="0.25">
      <c r="A425"/>
      <c r="B425"/>
      <c r="D425"/>
      <c r="E425"/>
      <c r="F425"/>
      <c r="G425"/>
      <c r="H425"/>
      <c r="I425"/>
      <c r="J425"/>
      <c r="K425"/>
      <c r="L425"/>
      <c r="M425"/>
    </row>
    <row r="426" spans="1:13" x14ac:dyDescent="0.25">
      <c r="A426"/>
      <c r="B426"/>
      <c r="D426"/>
      <c r="E426"/>
      <c r="F426"/>
      <c r="G426"/>
      <c r="H426"/>
      <c r="I426"/>
      <c r="J426"/>
      <c r="K426"/>
      <c r="L426"/>
      <c r="M426"/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ackprop">
                <anchor moveWithCells="1">
                  <from>
                    <xdr:col>3</xdr:col>
                    <xdr:colOff>371475</xdr:colOff>
                    <xdr:row>13</xdr:row>
                    <xdr:rowOff>104775</xdr:rowOff>
                  </from>
                  <to>
                    <xdr:col>5</xdr:col>
                    <xdr:colOff>428625</xdr:colOff>
                    <xdr:row>15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012DE-B381-47F7-83EC-F0CB04834146}">
  <sheetPr codeName="Sheet1"/>
  <dimension ref="A1:P426"/>
  <sheetViews>
    <sheetView workbookViewId="0">
      <pane ySplit="1" topLeftCell="A2" activePane="bottomLeft" state="frozenSplit"/>
      <selection pane="bottomLeft" activeCell="G185" sqref="G185"/>
    </sheetView>
  </sheetViews>
  <sheetFormatPr defaultRowHeight="15" x14ac:dyDescent="0.25"/>
  <cols>
    <col min="1" max="3" width="9.140625" style="1"/>
    <col min="4" max="4" width="4.140625" customWidth="1"/>
    <col min="5" max="9" width="9.140625" style="1"/>
    <col min="10" max="10" width="9.140625" style="1" bestFit="1" customWidth="1"/>
    <col min="11" max="11" width="9.140625" style="1" customWidth="1"/>
    <col min="12" max="14" width="10.140625" style="1" bestFit="1" customWidth="1"/>
    <col min="15" max="15" width="11.140625" customWidth="1"/>
    <col min="18" max="18" width="12.7109375" bestFit="1" customWidth="1"/>
  </cols>
  <sheetData>
    <row r="1" spans="1:16" s="3" customFormat="1" ht="30" x14ac:dyDescent="0.25">
      <c r="A1" s="2" t="s">
        <v>0</v>
      </c>
      <c r="B1" s="2" t="s">
        <v>1</v>
      </c>
      <c r="C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13</v>
      </c>
      <c r="J1" s="2" t="s">
        <v>10</v>
      </c>
      <c r="K1" s="2" t="s">
        <v>12</v>
      </c>
      <c r="L1" s="2" t="s">
        <v>7</v>
      </c>
      <c r="M1" s="2" t="s">
        <v>8</v>
      </c>
      <c r="N1" s="2" t="s">
        <v>9</v>
      </c>
      <c r="O1" s="2" t="s">
        <v>11</v>
      </c>
      <c r="P1" s="3" t="s">
        <v>17</v>
      </c>
    </row>
    <row r="2" spans="1:16" x14ac:dyDescent="0.25">
      <c r="A2" s="10">
        <v>1</v>
      </c>
      <c r="B2" s="10">
        <v>0</v>
      </c>
      <c r="C2" s="10">
        <v>0</v>
      </c>
      <c r="E2" s="1">
        <v>0.95148744146297404</v>
      </c>
      <c r="F2" s="1">
        <v>0.13473507805282492</v>
      </c>
      <c r="G2" s="1">
        <v>0.26857778941394084</v>
      </c>
      <c r="H2" s="1">
        <f>sigmoid((E2*A2)+(F2*B2)+(G2*C2)+$P$2)</f>
        <v>0.75121748321078818</v>
      </c>
      <c r="I2" s="1">
        <f>ROUND(H2,0)</f>
        <v>1</v>
      </c>
      <c r="J2" s="1">
        <v>1</v>
      </c>
      <c r="K2" s="1">
        <f>J2-H2</f>
        <v>0.24878251678921182</v>
      </c>
      <c r="L2" s="1">
        <f>$O$2*E2*$K2</f>
        <v>4.734268807609731E-2</v>
      </c>
      <c r="M2" s="1">
        <f>$O$2*F2*$K2</f>
        <v>6.703946363554536E-3</v>
      </c>
      <c r="N2" s="1">
        <f>$O$2*G2*$K2</f>
        <v>1.3363491680816627E-2</v>
      </c>
      <c r="O2">
        <v>0.2</v>
      </c>
      <c r="P2">
        <v>1</v>
      </c>
    </row>
    <row r="3" spans="1:16" x14ac:dyDescent="0.25">
      <c r="A3" s="9">
        <v>0</v>
      </c>
      <c r="B3" s="9">
        <v>1</v>
      </c>
      <c r="C3" s="9">
        <v>0</v>
      </c>
      <c r="E3" s="1">
        <f t="shared" ref="E3:G9" si="0">E2+L2</f>
        <v>0.99883012953907135</v>
      </c>
      <c r="F3" s="1">
        <f t="shared" si="0"/>
        <v>0.14143902441637946</v>
      </c>
      <c r="G3" s="1">
        <f t="shared" si="0"/>
        <v>0.28194128109475747</v>
      </c>
      <c r="H3" s="1">
        <f t="shared" ref="H3:H66" si="1">sigmoid((E3*A3)+(F3*B3)+(G3*C3)+$P$2)</f>
        <v>0.5158874952792788</v>
      </c>
      <c r="I3" s="1">
        <f t="shared" ref="I3:I67" si="2">ROUND(H3,0)</f>
        <v>1</v>
      </c>
      <c r="J3" s="1">
        <v>0</v>
      </c>
      <c r="K3" s="1">
        <f t="shared" ref="K3:K66" si="3">J3-H3</f>
        <v>-0.5158874952792788</v>
      </c>
      <c r="L3" s="1">
        <f t="shared" ref="L3:L9" si="4">$O$2*E3*$K3</f>
        <v>-0.10305679474747782</v>
      </c>
      <c r="M3" s="1">
        <f t="shared" ref="M3:M9" si="5">$O$2*F3*$K3</f>
        <v>-1.4593324808182153E-2</v>
      </c>
      <c r="N3" s="1">
        <f t="shared" ref="N3:N9" si="6">$O$2*G3*$K3</f>
        <v>-2.9089996263961103E-2</v>
      </c>
    </row>
    <row r="4" spans="1:16" x14ac:dyDescent="0.25">
      <c r="A4" s="8">
        <v>0</v>
      </c>
      <c r="B4" s="8">
        <v>0</v>
      </c>
      <c r="C4" s="8">
        <v>1</v>
      </c>
      <c r="E4" s="1">
        <f t="shared" si="0"/>
        <v>0.89577333479159349</v>
      </c>
      <c r="F4" s="1">
        <f t="shared" si="0"/>
        <v>0.1268456996081973</v>
      </c>
      <c r="G4" s="1">
        <f t="shared" si="0"/>
        <v>0.25285128483079639</v>
      </c>
      <c r="H4" s="1">
        <f t="shared" si="1"/>
        <v>0.55558608391020936</v>
      </c>
      <c r="I4" s="1">
        <f t="shared" si="2"/>
        <v>1</v>
      </c>
      <c r="J4" s="1">
        <v>1</v>
      </c>
      <c r="K4" s="1">
        <f t="shared" si="3"/>
        <v>0.44441391608979064</v>
      </c>
      <c r="L4" s="1">
        <f t="shared" si="4"/>
        <v>7.9618827128708644E-2</v>
      </c>
      <c r="M4" s="1">
        <f t="shared" si="5"/>
        <v>1.1274398820405637E-2</v>
      </c>
      <c r="N4" s="1">
        <f t="shared" si="6"/>
        <v>2.247412593599786E-2</v>
      </c>
    </row>
    <row r="5" spans="1:16" x14ac:dyDescent="0.25">
      <c r="A5" s="7">
        <v>1</v>
      </c>
      <c r="B5" s="7">
        <v>1</v>
      </c>
      <c r="C5" s="7">
        <v>0</v>
      </c>
      <c r="E5" s="1">
        <f t="shared" si="0"/>
        <v>0.97539216192030209</v>
      </c>
      <c r="F5" s="1">
        <f t="shared" si="0"/>
        <v>0.13812009842860296</v>
      </c>
      <c r="G5" s="1">
        <f t="shared" si="0"/>
        <v>0.27532541076679423</v>
      </c>
      <c r="H5" s="1">
        <f t="shared" si="1"/>
        <v>0.78441915739584112</v>
      </c>
      <c r="I5" s="1">
        <f t="shared" si="2"/>
        <v>1</v>
      </c>
      <c r="J5" s="1">
        <v>0</v>
      </c>
      <c r="K5" s="1">
        <f t="shared" si="3"/>
        <v>-0.78441915739584112</v>
      </c>
      <c r="L5" s="1">
        <f t="shared" si="4"/>
        <v>-0.15302325955680623</v>
      </c>
      <c r="M5" s="1">
        <f t="shared" si="5"/>
        <v>-2.1668810245759073E-2</v>
      </c>
      <c r="N5" s="1">
        <f t="shared" si="6"/>
        <v>-4.3194105344670518E-2</v>
      </c>
    </row>
    <row r="6" spans="1:16" x14ac:dyDescent="0.25">
      <c r="A6" s="6">
        <v>1</v>
      </c>
      <c r="B6" s="6">
        <v>0</v>
      </c>
      <c r="C6" s="6">
        <v>1</v>
      </c>
      <c r="E6" s="1">
        <f t="shared" si="0"/>
        <v>0.82236890236349591</v>
      </c>
      <c r="F6" s="1">
        <f t="shared" si="0"/>
        <v>0.11645128818284388</v>
      </c>
      <c r="G6" s="1">
        <f t="shared" si="0"/>
        <v>0.23213130542212371</v>
      </c>
      <c r="H6" s="1">
        <f t="shared" si="1"/>
        <v>0.77280310100204241</v>
      </c>
      <c r="I6" s="1">
        <f t="shared" si="2"/>
        <v>1</v>
      </c>
      <c r="J6" s="1">
        <v>1</v>
      </c>
      <c r="K6" s="1">
        <f t="shared" si="3"/>
        <v>0.22719689899795759</v>
      </c>
      <c r="L6" s="1">
        <f t="shared" si="4"/>
        <v>3.7367932889868088E-2</v>
      </c>
      <c r="M6" s="1">
        <f t="shared" si="5"/>
        <v>5.2914743118919272E-3</v>
      </c>
      <c r="N6" s="1">
        <f t="shared" si="6"/>
        <v>1.0547902550450856E-2</v>
      </c>
    </row>
    <row r="7" spans="1:16" x14ac:dyDescent="0.25">
      <c r="A7" s="4">
        <v>0</v>
      </c>
      <c r="B7" s="4">
        <v>1</v>
      </c>
      <c r="C7" s="4">
        <v>1</v>
      </c>
      <c r="E7" s="1">
        <f t="shared" si="0"/>
        <v>0.85973683525336397</v>
      </c>
      <c r="F7" s="1">
        <f t="shared" si="0"/>
        <v>0.12174276249473581</v>
      </c>
      <c r="G7" s="1">
        <f t="shared" si="0"/>
        <v>0.24267920797257456</v>
      </c>
      <c r="H7" s="1">
        <f t="shared" si="1"/>
        <v>0.59295488782120875</v>
      </c>
      <c r="I7" s="1">
        <f t="shared" si="2"/>
        <v>1</v>
      </c>
      <c r="J7" s="1">
        <v>0</v>
      </c>
      <c r="K7" s="1">
        <f t="shared" si="3"/>
        <v>-0.59295488782120875</v>
      </c>
      <c r="L7" s="1">
        <f t="shared" si="4"/>
        <v>-0.10195703174068391</v>
      </c>
      <c r="M7" s="1">
        <f t="shared" si="5"/>
        <v>-1.4437593215622027E-2</v>
      </c>
      <c r="N7" s="1">
        <f t="shared" si="6"/>
        <v>-2.8779564507983548E-2</v>
      </c>
    </row>
    <row r="8" spans="1:16" x14ac:dyDescent="0.25">
      <c r="A8" s="5">
        <v>0</v>
      </c>
      <c r="B8" s="5">
        <v>0</v>
      </c>
      <c r="C8" s="5">
        <v>0</v>
      </c>
      <c r="E8" s="1">
        <f t="shared" si="0"/>
        <v>0.75777980351268004</v>
      </c>
      <c r="F8" s="1">
        <f t="shared" si="0"/>
        <v>0.10730516927911378</v>
      </c>
      <c r="G8" s="1">
        <f t="shared" si="0"/>
        <v>0.213899643464591</v>
      </c>
      <c r="H8" s="1">
        <f t="shared" si="1"/>
        <v>0.46211715726000974</v>
      </c>
      <c r="I8" s="1">
        <f t="shared" si="2"/>
        <v>0</v>
      </c>
      <c r="J8" s="1">
        <v>1</v>
      </c>
      <c r="K8" s="1">
        <f t="shared" si="3"/>
        <v>0.53788284273999021</v>
      </c>
      <c r="L8" s="1">
        <f t="shared" si="4"/>
        <v>8.1519350976870311E-2</v>
      </c>
      <c r="M8" s="1">
        <f t="shared" si="5"/>
        <v>1.1543521898509117E-2</v>
      </c>
      <c r="N8" s="1">
        <f t="shared" si="6"/>
        <v>2.3010589657560917E-2</v>
      </c>
    </row>
    <row r="9" spans="1:16" x14ac:dyDescent="0.25">
      <c r="A9" s="1">
        <v>1</v>
      </c>
      <c r="B9" s="1">
        <v>1</v>
      </c>
      <c r="C9" s="1">
        <v>1</v>
      </c>
      <c r="E9" s="1">
        <f t="shared" si="0"/>
        <v>0.83929915448955039</v>
      </c>
      <c r="F9" s="1">
        <f t="shared" si="0"/>
        <v>0.11884869117762289</v>
      </c>
      <c r="G9" s="1">
        <f t="shared" si="0"/>
        <v>0.23691023312215193</v>
      </c>
      <c r="H9" s="1">
        <f t="shared" si="1"/>
        <v>0.79960969217368982</v>
      </c>
      <c r="I9" s="1">
        <f t="shared" si="2"/>
        <v>1</v>
      </c>
      <c r="J9" s="1">
        <v>0</v>
      </c>
      <c r="K9" s="1">
        <f t="shared" si="3"/>
        <v>-0.79960969217368982</v>
      </c>
      <c r="L9" s="1">
        <f t="shared" si="4"/>
        <v>-0.13422234771260552</v>
      </c>
      <c r="M9" s="1">
        <f t="shared" si="5"/>
        <v>-1.9006513073556996E-2</v>
      </c>
      <c r="N9" s="1">
        <f t="shared" si="6"/>
        <v>-3.7887143715920203E-2</v>
      </c>
    </row>
    <row r="10" spans="1:16" x14ac:dyDescent="0.25">
      <c r="A10" s="10">
        <v>1</v>
      </c>
      <c r="B10" s="10">
        <v>0</v>
      </c>
      <c r="C10" s="10">
        <v>0</v>
      </c>
      <c r="E10" s="1">
        <f t="shared" ref="E10:E73" si="7">E9+L9</f>
        <v>0.70507680677694484</v>
      </c>
      <c r="F10" s="1">
        <f t="shared" ref="F10:F73" si="8">F9+M9</f>
        <v>9.9842178104065898E-2</v>
      </c>
      <c r="G10" s="1">
        <f t="shared" ref="G10:G73" si="9">G9+N9</f>
        <v>0.19902308940623173</v>
      </c>
      <c r="H10" s="1">
        <f t="shared" si="1"/>
        <v>0.69239326505335985</v>
      </c>
      <c r="I10" s="1">
        <f>ROUND(H10,0)</f>
        <v>1</v>
      </c>
      <c r="J10" s="1">
        <v>1</v>
      </c>
      <c r="K10" s="1">
        <f t="shared" si="3"/>
        <v>0.30760673494664015</v>
      </c>
      <c r="L10" s="1">
        <f>$O$2*E10*$K10</f>
        <v>4.3377274883851819E-2</v>
      </c>
      <c r="M10" s="1">
        <f>$O$2*F10*$K10</f>
        <v>6.1424252833105278E-3</v>
      </c>
      <c r="N10" s="1">
        <f>$O$2*G10*$K10</f>
        <v>1.2244168542248838E-2</v>
      </c>
    </row>
    <row r="11" spans="1:16" x14ac:dyDescent="0.25">
      <c r="A11" s="9">
        <v>0</v>
      </c>
      <c r="B11" s="9">
        <v>1</v>
      </c>
      <c r="C11" s="9">
        <v>0</v>
      </c>
      <c r="E11" s="1">
        <f t="shared" si="7"/>
        <v>0.74845408166079663</v>
      </c>
      <c r="F11" s="1">
        <f t="shared" si="8"/>
        <v>0.10598460338737642</v>
      </c>
      <c r="G11" s="1">
        <f t="shared" si="9"/>
        <v>0.21126725794848056</v>
      </c>
      <c r="H11" s="1">
        <f t="shared" si="1"/>
        <v>0.50275951950960229</v>
      </c>
      <c r="I11" s="1">
        <f t="shared" si="2"/>
        <v>1</v>
      </c>
      <c r="J11" s="1">
        <v>0</v>
      </c>
      <c r="K11" s="1">
        <f t="shared" si="3"/>
        <v>-0.50275951950960229</v>
      </c>
      <c r="L11" s="1">
        <f t="shared" ref="L11:L17" si="10">$O$2*E11*$K11</f>
        <v>-7.5258482894156556E-2</v>
      </c>
      <c r="M11" s="1">
        <f t="shared" ref="M11:M17" si="11">$O$2*F11*$K11</f>
        <v>-1.0656953654890628E-2</v>
      </c>
      <c r="N11" s="1">
        <f t="shared" ref="N11:N17" si="12">$O$2*G11*$K11</f>
        <v>-2.124332501885786E-2</v>
      </c>
    </row>
    <row r="12" spans="1:16" x14ac:dyDescent="0.25">
      <c r="A12" s="8">
        <v>0</v>
      </c>
      <c r="B12" s="8">
        <v>0</v>
      </c>
      <c r="C12" s="8">
        <v>1</v>
      </c>
      <c r="E12" s="1">
        <f t="shared" si="7"/>
        <v>0.67319559876664004</v>
      </c>
      <c r="F12" s="1">
        <f t="shared" si="8"/>
        <v>9.5327649732485795E-2</v>
      </c>
      <c r="G12" s="1">
        <f t="shared" si="9"/>
        <v>0.19002393292962269</v>
      </c>
      <c r="H12" s="1">
        <f t="shared" si="1"/>
        <v>0.53349068917329057</v>
      </c>
      <c r="I12" s="1">
        <f t="shared" si="2"/>
        <v>1</v>
      </c>
      <c r="J12" s="1">
        <v>1</v>
      </c>
      <c r="K12" s="1">
        <f t="shared" si="3"/>
        <v>0.46650931082670943</v>
      </c>
      <c r="L12" s="1">
        <f t="shared" si="10"/>
        <v>6.2810402966439846E-2</v>
      </c>
      <c r="M12" s="1">
        <f t="shared" si="11"/>
        <v>8.8942472358863808E-3</v>
      </c>
      <c r="N12" s="1">
        <f t="shared" si="12"/>
        <v>1.7729586798315829E-2</v>
      </c>
    </row>
    <row r="13" spans="1:16" x14ac:dyDescent="0.25">
      <c r="A13" s="7">
        <v>1</v>
      </c>
      <c r="B13" s="7">
        <v>1</v>
      </c>
      <c r="C13" s="7">
        <v>0</v>
      </c>
      <c r="E13" s="1">
        <f t="shared" si="7"/>
        <v>0.73600600173307984</v>
      </c>
      <c r="F13" s="1">
        <f t="shared" si="8"/>
        <v>0.10422189696837217</v>
      </c>
      <c r="G13" s="1">
        <f t="shared" si="9"/>
        <v>0.20775351972793851</v>
      </c>
      <c r="H13" s="1">
        <f t="shared" si="1"/>
        <v>0.72595131674503699</v>
      </c>
      <c r="I13" s="1">
        <f t="shared" si="2"/>
        <v>1</v>
      </c>
      <c r="J13" s="1">
        <v>0</v>
      </c>
      <c r="K13" s="1">
        <f t="shared" si="3"/>
        <v>-0.72595131674503699</v>
      </c>
      <c r="L13" s="1">
        <f t="shared" si="10"/>
        <v>-0.10686090521807586</v>
      </c>
      <c r="M13" s="1">
        <f t="shared" si="11"/>
        <v>-1.5132004667571072E-2</v>
      </c>
      <c r="N13" s="1">
        <f t="shared" si="12"/>
        <v>-3.0163788240982599E-2</v>
      </c>
    </row>
    <row r="14" spans="1:16" x14ac:dyDescent="0.25">
      <c r="A14" s="6">
        <v>1</v>
      </c>
      <c r="B14" s="6">
        <v>0</v>
      </c>
      <c r="C14" s="6">
        <v>1</v>
      </c>
      <c r="E14" s="1">
        <f t="shared" si="7"/>
        <v>0.62914509651500394</v>
      </c>
      <c r="F14" s="1">
        <f t="shared" si="8"/>
        <v>8.9089892300801096E-2</v>
      </c>
      <c r="G14" s="1">
        <f t="shared" si="9"/>
        <v>0.17758973148695592</v>
      </c>
      <c r="H14" s="1">
        <f t="shared" si="1"/>
        <v>0.71793357092854204</v>
      </c>
      <c r="I14" s="1">
        <f t="shared" si="2"/>
        <v>1</v>
      </c>
      <c r="J14" s="1">
        <v>1</v>
      </c>
      <c r="K14" s="1">
        <f t="shared" si="3"/>
        <v>0.28206642907145796</v>
      </c>
      <c r="L14" s="1">
        <f t="shared" si="10"/>
        <v>3.5492142148360988E-2</v>
      </c>
      <c r="M14" s="1">
        <f t="shared" si="11"/>
        <v>5.0258535575295488E-3</v>
      </c>
      <c r="N14" s="1">
        <f t="shared" si="12"/>
        <v>1.0018420280056943E-2</v>
      </c>
    </row>
    <row r="15" spans="1:16" x14ac:dyDescent="0.25">
      <c r="A15" s="4">
        <v>0</v>
      </c>
      <c r="B15" s="4">
        <v>1</v>
      </c>
      <c r="C15" s="4">
        <v>1</v>
      </c>
      <c r="E15" s="1">
        <f t="shared" si="7"/>
        <v>0.66463723866336488</v>
      </c>
      <c r="F15" s="1">
        <f t="shared" si="8"/>
        <v>9.4115745858330643E-2</v>
      </c>
      <c r="G15" s="1">
        <f t="shared" si="9"/>
        <v>0.18760815176701287</v>
      </c>
      <c r="H15" s="1">
        <f t="shared" si="1"/>
        <v>0.56548615810434022</v>
      </c>
      <c r="I15" s="1">
        <f t="shared" si="2"/>
        <v>1</v>
      </c>
      <c r="J15" s="1">
        <v>0</v>
      </c>
      <c r="K15" s="1">
        <f t="shared" si="3"/>
        <v>-0.56548615810434022</v>
      </c>
      <c r="L15" s="1">
        <f t="shared" si="10"/>
        <v>-7.5168631724964741E-2</v>
      </c>
      <c r="M15" s="1">
        <f t="shared" si="11"/>
        <v>-1.0644230308510375E-2</v>
      </c>
      <c r="N15" s="1">
        <f t="shared" si="12"/>
        <v>-2.1217962594356821E-2</v>
      </c>
    </row>
    <row r="16" spans="1:16" x14ac:dyDescent="0.25">
      <c r="A16" s="5">
        <v>0</v>
      </c>
      <c r="B16" s="5">
        <v>0</v>
      </c>
      <c r="C16" s="5">
        <v>0</v>
      </c>
      <c r="E16" s="1">
        <f t="shared" si="7"/>
        <v>0.58946860693840009</v>
      </c>
      <c r="F16" s="1">
        <f t="shared" si="8"/>
        <v>8.3471515549820269E-2</v>
      </c>
      <c r="G16" s="1">
        <f t="shared" si="9"/>
        <v>0.16639018917265605</v>
      </c>
      <c r="H16" s="1">
        <f t="shared" si="1"/>
        <v>0.46211715726000974</v>
      </c>
      <c r="I16" s="1">
        <f t="shared" si="2"/>
        <v>0</v>
      </c>
      <c r="J16" s="1">
        <v>1</v>
      </c>
      <c r="K16" s="1">
        <f t="shared" si="3"/>
        <v>0.53788284273999021</v>
      </c>
      <c r="L16" s="1">
        <f t="shared" si="10"/>
        <v>6.3413010001201711E-2</v>
      </c>
      <c r="M16" s="1">
        <f t="shared" si="11"/>
        <v>8.9795792143505249E-3</v>
      </c>
      <c r="N16" s="1">
        <f t="shared" si="12"/>
        <v>1.7899685591246595E-2</v>
      </c>
    </row>
    <row r="17" spans="1:14" x14ac:dyDescent="0.25">
      <c r="A17" s="1">
        <v>1</v>
      </c>
      <c r="B17" s="1">
        <v>1</v>
      </c>
      <c r="C17" s="1">
        <v>1</v>
      </c>
      <c r="E17" s="1">
        <f t="shared" si="7"/>
        <v>0.65288161693960178</v>
      </c>
      <c r="F17" s="1">
        <f t="shared" si="8"/>
        <v>9.2451094764170794E-2</v>
      </c>
      <c r="G17" s="1">
        <f t="shared" si="9"/>
        <v>0.18428987476390266</v>
      </c>
      <c r="H17" s="1">
        <f t="shared" si="1"/>
        <v>0.74641528004975954</v>
      </c>
      <c r="I17" s="1">
        <f t="shared" si="2"/>
        <v>1</v>
      </c>
      <c r="J17" s="1">
        <v>0</v>
      </c>
      <c r="K17" s="1">
        <f t="shared" si="3"/>
        <v>-0.74641528004975954</v>
      </c>
      <c r="L17" s="1">
        <f t="shared" si="10"/>
        <v>-9.7464162989462547E-2</v>
      </c>
      <c r="M17" s="1">
        <f t="shared" si="11"/>
        <v>-1.380138195786108E-2</v>
      </c>
      <c r="N17" s="1">
        <f t="shared" si="12"/>
        <v>-2.7511355696446704E-2</v>
      </c>
    </row>
    <row r="18" spans="1:14" x14ac:dyDescent="0.25">
      <c r="A18" s="10">
        <v>1</v>
      </c>
      <c r="B18" s="10">
        <v>0</v>
      </c>
      <c r="C18" s="10">
        <v>0</v>
      </c>
      <c r="E18" s="1">
        <f t="shared" si="7"/>
        <v>0.55541745395013919</v>
      </c>
      <c r="F18" s="1">
        <f t="shared" si="8"/>
        <v>7.864971280630971E-2</v>
      </c>
      <c r="G18" s="1">
        <f t="shared" si="9"/>
        <v>0.15677851906745596</v>
      </c>
      <c r="H18" s="1">
        <f t="shared" si="1"/>
        <v>0.6513896074651524</v>
      </c>
      <c r="I18" s="1">
        <f>ROUND(H18,0)</f>
        <v>1</v>
      </c>
      <c r="J18" s="1">
        <v>1</v>
      </c>
      <c r="K18" s="1">
        <f t="shared" si="3"/>
        <v>0.3486103925348476</v>
      </c>
      <c r="L18" s="1">
        <f>$O$2*E18*$K18</f>
        <v>3.8724859328452738E-2</v>
      </c>
      <c r="M18" s="1">
        <f>$O$2*F18*$K18</f>
        <v>5.4836214508321322E-3</v>
      </c>
      <c r="N18" s="1">
        <f>$O$2*G18*$K18</f>
        <v>1.0930924214627585E-2</v>
      </c>
    </row>
    <row r="19" spans="1:14" x14ac:dyDescent="0.25">
      <c r="A19" s="9">
        <v>0</v>
      </c>
      <c r="B19" s="9">
        <v>1</v>
      </c>
      <c r="C19" s="9">
        <v>0</v>
      </c>
      <c r="E19" s="1">
        <f t="shared" si="7"/>
        <v>0.5941423132785919</v>
      </c>
      <c r="F19" s="1">
        <f t="shared" si="8"/>
        <v>8.413333425714184E-2</v>
      </c>
      <c r="G19" s="1">
        <f t="shared" si="9"/>
        <v>0.16770944328208354</v>
      </c>
      <c r="H19" s="1">
        <f t="shared" si="1"/>
        <v>0.49455076247837626</v>
      </c>
      <c r="I19" s="1">
        <f t="shared" si="2"/>
        <v>0</v>
      </c>
      <c r="J19" s="1">
        <v>0</v>
      </c>
      <c r="K19" s="1">
        <f t="shared" si="3"/>
        <v>-0.49455076247837626</v>
      </c>
      <c r="L19" s="1">
        <f t="shared" ref="L19:L25" si="13">$O$2*E19*$K19</f>
        <v>-5.8766706810518793E-2</v>
      </c>
      <c r="M19" s="1">
        <f t="shared" ref="M19:M25" si="14">$O$2*F19*$K19</f>
        <v>-8.3216409213435188E-3</v>
      </c>
      <c r="N19" s="1">
        <f t="shared" ref="N19:N25" si="15">$O$2*G19*$K19</f>
        <v>-1.6588166609995684E-2</v>
      </c>
    </row>
    <row r="20" spans="1:14" x14ac:dyDescent="0.25">
      <c r="A20" s="8">
        <v>0</v>
      </c>
      <c r="B20" s="8">
        <v>0</v>
      </c>
      <c r="C20" s="8">
        <v>1</v>
      </c>
      <c r="E20" s="1">
        <f t="shared" si="7"/>
        <v>0.53537560646807314</v>
      </c>
      <c r="F20" s="1">
        <f t="shared" si="8"/>
        <v>7.5811693335798319E-2</v>
      </c>
      <c r="G20" s="1">
        <f t="shared" si="9"/>
        <v>0.15112127667208786</v>
      </c>
      <c r="H20" s="1">
        <f t="shared" si="1"/>
        <v>0.51943132622665877</v>
      </c>
      <c r="I20" s="1">
        <f t="shared" si="2"/>
        <v>1</v>
      </c>
      <c r="J20" s="1">
        <v>1</v>
      </c>
      <c r="K20" s="1">
        <f t="shared" si="3"/>
        <v>0.48056867377334123</v>
      </c>
      <c r="L20" s="1">
        <f t="shared" si="13"/>
        <v>5.1456949034192033E-2</v>
      </c>
      <c r="M20" s="1">
        <f t="shared" si="14"/>
        <v>7.2865449845791706E-3</v>
      </c>
      <c r="N20" s="1">
        <f t="shared" si="15"/>
        <v>1.4524830301847886E-2</v>
      </c>
    </row>
    <row r="21" spans="1:14" x14ac:dyDescent="0.25">
      <c r="A21" s="7">
        <v>1</v>
      </c>
      <c r="B21" s="7">
        <v>1</v>
      </c>
      <c r="C21" s="7">
        <v>0</v>
      </c>
      <c r="E21" s="1">
        <f t="shared" si="7"/>
        <v>0.58683255550226521</v>
      </c>
      <c r="F21" s="1">
        <f t="shared" si="8"/>
        <v>8.3098238320377493E-2</v>
      </c>
      <c r="G21" s="1">
        <f t="shared" si="9"/>
        <v>0.16564610697393575</v>
      </c>
      <c r="H21" s="1">
        <f t="shared" si="1"/>
        <v>0.68313318791400235</v>
      </c>
      <c r="I21" s="1">
        <f t="shared" si="2"/>
        <v>1</v>
      </c>
      <c r="J21" s="1">
        <v>0</v>
      </c>
      <c r="K21" s="1">
        <f t="shared" si="3"/>
        <v>-0.68313318791400235</v>
      </c>
      <c r="L21" s="1">
        <f t="shared" si="13"/>
        <v>-8.0176958882396634E-2</v>
      </c>
      <c r="M21" s="1">
        <f t="shared" si="14"/>
        <v>-1.1353432890767399E-2</v>
      </c>
      <c r="N21" s="1">
        <f t="shared" si="15"/>
        <v>-2.2631670624529719E-2</v>
      </c>
    </row>
    <row r="22" spans="1:14" x14ac:dyDescent="0.25">
      <c r="A22" s="6">
        <v>1</v>
      </c>
      <c r="B22" s="6">
        <v>0</v>
      </c>
      <c r="C22" s="6">
        <v>1</v>
      </c>
      <c r="E22" s="1">
        <f t="shared" si="7"/>
        <v>0.50665559661986859</v>
      </c>
      <c r="F22" s="1">
        <f t="shared" si="8"/>
        <v>7.1744805429610092E-2</v>
      </c>
      <c r="G22" s="1">
        <f t="shared" si="9"/>
        <v>0.14301443634940603</v>
      </c>
      <c r="H22" s="1">
        <f t="shared" si="1"/>
        <v>0.67769289889968176</v>
      </c>
      <c r="I22" s="1">
        <f t="shared" si="2"/>
        <v>1</v>
      </c>
      <c r="J22" s="1">
        <v>1</v>
      </c>
      <c r="K22" s="1">
        <f t="shared" si="3"/>
        <v>0.32230710110031824</v>
      </c>
      <c r="L22" s="1">
        <f t="shared" si="13"/>
        <v>3.2659739320560412E-2</v>
      </c>
      <c r="M22" s="1">
        <f t="shared" si="14"/>
        <v>4.6247720514048006E-3</v>
      </c>
      <c r="N22" s="1">
        <f t="shared" si="15"/>
        <v>9.2189136790546081E-3</v>
      </c>
    </row>
    <row r="23" spans="1:14" x14ac:dyDescent="0.25">
      <c r="A23" s="4">
        <v>0</v>
      </c>
      <c r="B23" s="4">
        <v>1</v>
      </c>
      <c r="C23" s="4">
        <v>1</v>
      </c>
      <c r="E23" s="1">
        <f t="shared" si="7"/>
        <v>0.53931533594042902</v>
      </c>
      <c r="F23" s="1">
        <f t="shared" si="8"/>
        <v>7.6369577481014889E-2</v>
      </c>
      <c r="G23" s="1">
        <f t="shared" si="9"/>
        <v>0.15223335002846064</v>
      </c>
      <c r="H23" s="1">
        <f t="shared" si="1"/>
        <v>0.54714792074490703</v>
      </c>
      <c r="I23" s="1">
        <f t="shared" si="2"/>
        <v>1</v>
      </c>
      <c r="J23" s="1">
        <v>0</v>
      </c>
      <c r="K23" s="1">
        <f t="shared" si="3"/>
        <v>-0.54714792074490703</v>
      </c>
      <c r="L23" s="1">
        <f t="shared" si="13"/>
        <v>-5.9017052937129354E-2</v>
      </c>
      <c r="M23" s="1">
        <f t="shared" si="14"/>
        <v>-8.3570911053808747E-3</v>
      </c>
      <c r="N23" s="1">
        <f t="shared" si="15"/>
        <v>-1.6658832187220775E-2</v>
      </c>
    </row>
    <row r="24" spans="1:14" x14ac:dyDescent="0.25">
      <c r="A24" s="5">
        <v>0</v>
      </c>
      <c r="B24" s="5">
        <v>0</v>
      </c>
      <c r="C24" s="5">
        <v>0</v>
      </c>
      <c r="E24" s="1">
        <f t="shared" si="7"/>
        <v>0.48029828300329969</v>
      </c>
      <c r="F24" s="1">
        <f t="shared" si="8"/>
        <v>6.8012486375634007E-2</v>
      </c>
      <c r="G24" s="1">
        <f t="shared" si="9"/>
        <v>0.13557451784123986</v>
      </c>
      <c r="H24" s="1">
        <f t="shared" si="1"/>
        <v>0.46211715726000974</v>
      </c>
      <c r="I24" s="1">
        <f t="shared" si="2"/>
        <v>0</v>
      </c>
      <c r="J24" s="1">
        <v>1</v>
      </c>
      <c r="K24" s="1">
        <f t="shared" si="3"/>
        <v>0.53788284273999021</v>
      </c>
      <c r="L24" s="1">
        <f t="shared" si="13"/>
        <v>5.1668841164990237E-2</v>
      </c>
      <c r="M24" s="1">
        <f t="shared" si="14"/>
        <v>7.316549902708175E-3</v>
      </c>
      <c r="N24" s="1">
        <f t="shared" si="15"/>
        <v>1.4584641411909923E-2</v>
      </c>
    </row>
    <row r="25" spans="1:14" x14ac:dyDescent="0.25">
      <c r="A25" s="1">
        <v>1</v>
      </c>
      <c r="B25" s="1">
        <v>1</v>
      </c>
      <c r="C25" s="1">
        <v>1</v>
      </c>
      <c r="E25" s="1">
        <f t="shared" si="7"/>
        <v>0.53196712416828995</v>
      </c>
      <c r="F25" s="1">
        <f t="shared" si="8"/>
        <v>7.5329036278342185E-2</v>
      </c>
      <c r="G25" s="1">
        <f t="shared" si="9"/>
        <v>0.15015915925314979</v>
      </c>
      <c r="H25" s="1">
        <f t="shared" si="1"/>
        <v>0.70578134085820809</v>
      </c>
      <c r="I25" s="1">
        <f t="shared" si="2"/>
        <v>1</v>
      </c>
      <c r="J25" s="1">
        <v>0</v>
      </c>
      <c r="K25" s="1">
        <f t="shared" si="3"/>
        <v>-0.70578134085820809</v>
      </c>
      <c r="L25" s="1">
        <f t="shared" si="13"/>
        <v>-7.5090494037596114E-2</v>
      </c>
      <c r="M25" s="1">
        <f t="shared" si="14"/>
        <v>-1.063316564601699E-2</v>
      </c>
      <c r="N25" s="1">
        <f t="shared" si="15"/>
        <v>-2.1195906551965855E-2</v>
      </c>
    </row>
    <row r="26" spans="1:14" x14ac:dyDescent="0.25">
      <c r="A26" s="10">
        <v>1</v>
      </c>
      <c r="B26" s="10">
        <v>0</v>
      </c>
      <c r="C26" s="10">
        <v>0</v>
      </c>
      <c r="E26" s="1">
        <f t="shared" si="7"/>
        <v>0.45687663013069385</v>
      </c>
      <c r="F26" s="1">
        <f t="shared" si="8"/>
        <v>6.4695870632325195E-2</v>
      </c>
      <c r="G26" s="1">
        <f t="shared" si="9"/>
        <v>0.12896325270118394</v>
      </c>
      <c r="H26" s="1">
        <f t="shared" si="1"/>
        <v>0.62210899723372193</v>
      </c>
      <c r="I26" s="1">
        <f>ROUND(H26,0)</f>
        <v>1</v>
      </c>
      <c r="J26" s="1">
        <v>1</v>
      </c>
      <c r="K26" s="1">
        <f t="shared" si="3"/>
        <v>0.37789100276627807</v>
      </c>
      <c r="L26" s="1">
        <f>$O$2*E26*$K26</f>
        <v>3.4529913580113168E-2</v>
      </c>
      <c r="M26" s="1">
        <f>$O$2*F26*$K26</f>
        <v>4.8895974856173535E-3</v>
      </c>
      <c r="N26" s="1">
        <f>$O$2*G26*$K26</f>
        <v>9.7468105766502638E-3</v>
      </c>
    </row>
    <row r="27" spans="1:14" x14ac:dyDescent="0.25">
      <c r="A27" s="9">
        <v>0</v>
      </c>
      <c r="B27" s="9">
        <v>1</v>
      </c>
      <c r="C27" s="9">
        <v>0</v>
      </c>
      <c r="E27" s="1">
        <f t="shared" si="7"/>
        <v>0.491406543710807</v>
      </c>
      <c r="F27" s="1">
        <f t="shared" si="8"/>
        <v>6.9585468117942542E-2</v>
      </c>
      <c r="G27" s="1">
        <f t="shared" si="9"/>
        <v>0.13871006327783419</v>
      </c>
      <c r="H27" s="1">
        <f t="shared" si="1"/>
        <v>0.48903615066612677</v>
      </c>
      <c r="I27" s="1">
        <f t="shared" si="2"/>
        <v>0</v>
      </c>
      <c r="J27" s="1">
        <v>0</v>
      </c>
      <c r="K27" s="1">
        <f t="shared" si="3"/>
        <v>-0.48903615066612677</v>
      </c>
      <c r="L27" s="1">
        <f t="shared" ref="L27:L33" si="16">$O$2*E27*$K27</f>
        <v>-4.8063112909695761E-2</v>
      </c>
      <c r="M27" s="1">
        <f t="shared" ref="M27:M33" si="17">$O$2*F27*$K27</f>
        <v>-6.8059618941398222E-3</v>
      </c>
      <c r="N27" s="1">
        <f t="shared" ref="N27:N33" si="18">$O$2*G27*$K27</f>
        <v>-1.3566847080809382E-2</v>
      </c>
    </row>
    <row r="28" spans="1:14" x14ac:dyDescent="0.25">
      <c r="A28" s="8">
        <v>0</v>
      </c>
      <c r="B28" s="8">
        <v>0</v>
      </c>
      <c r="C28" s="8">
        <v>1</v>
      </c>
      <c r="E28" s="1">
        <f t="shared" si="7"/>
        <v>0.44334343080111122</v>
      </c>
      <c r="F28" s="1">
        <f t="shared" si="8"/>
        <v>6.2779506223802725E-2</v>
      </c>
      <c r="G28" s="1">
        <f t="shared" si="9"/>
        <v>0.12514321619702481</v>
      </c>
      <c r="H28" s="1">
        <f t="shared" si="1"/>
        <v>0.50988296704927027</v>
      </c>
      <c r="I28" s="1">
        <f t="shared" si="2"/>
        <v>1</v>
      </c>
      <c r="J28" s="1">
        <v>1</v>
      </c>
      <c r="K28" s="1">
        <f t="shared" si="3"/>
        <v>0.49011703295072973</v>
      </c>
      <c r="L28" s="1">
        <f t="shared" si="16"/>
        <v>4.3458033376487563E-2</v>
      </c>
      <c r="M28" s="1">
        <f t="shared" si="17"/>
        <v>6.1538610641044128E-3</v>
      </c>
      <c r="N28" s="1">
        <f t="shared" si="18"/>
        <v>1.2266964363279502E-2</v>
      </c>
    </row>
    <row r="29" spans="1:14" x14ac:dyDescent="0.25">
      <c r="A29" s="7">
        <v>1</v>
      </c>
      <c r="B29" s="7">
        <v>1</v>
      </c>
      <c r="C29" s="7">
        <v>0</v>
      </c>
      <c r="E29" s="1">
        <f t="shared" si="7"/>
        <v>0.48680146417759879</v>
      </c>
      <c r="F29" s="1">
        <f t="shared" si="8"/>
        <v>6.8933367287907138E-2</v>
      </c>
      <c r="G29" s="1">
        <f t="shared" si="9"/>
        <v>0.13741018056030432</v>
      </c>
      <c r="H29" s="1">
        <f t="shared" si="1"/>
        <v>0.65148095380360416</v>
      </c>
      <c r="I29" s="1">
        <f t="shared" si="2"/>
        <v>1</v>
      </c>
      <c r="J29" s="1">
        <v>0</v>
      </c>
      <c r="K29" s="1">
        <f t="shared" si="3"/>
        <v>-0.65148095380360416</v>
      </c>
      <c r="L29" s="1">
        <f t="shared" si="16"/>
        <v>-6.3428376439082626E-2</v>
      </c>
      <c r="M29" s="1">
        <f t="shared" si="17"/>
        <v>-8.9817551739239821E-3</v>
      </c>
      <c r="N29" s="1">
        <f t="shared" si="18"/>
        <v>-1.7904023098750506E-2</v>
      </c>
    </row>
    <row r="30" spans="1:14" x14ac:dyDescent="0.25">
      <c r="A30" s="6">
        <v>1</v>
      </c>
      <c r="B30" s="6">
        <v>0</v>
      </c>
      <c r="C30" s="6">
        <v>1</v>
      </c>
      <c r="E30" s="1">
        <f t="shared" si="7"/>
        <v>0.42337308773851617</v>
      </c>
      <c r="F30" s="1">
        <f t="shared" si="8"/>
        <v>5.9951612113983158E-2</v>
      </c>
      <c r="G30" s="1">
        <f t="shared" si="9"/>
        <v>0.11950615746155382</v>
      </c>
      <c r="H30" s="1">
        <f t="shared" si="1"/>
        <v>0.64776578599670465</v>
      </c>
      <c r="I30" s="1">
        <f t="shared" si="2"/>
        <v>1</v>
      </c>
      <c r="J30" s="1">
        <v>1</v>
      </c>
      <c r="K30" s="1">
        <f t="shared" si="3"/>
        <v>0.35223421400329535</v>
      </c>
      <c r="L30" s="1">
        <f t="shared" si="16"/>
        <v>2.982529735794489E-2</v>
      </c>
      <c r="M30" s="1">
        <f t="shared" si="17"/>
        <v>4.2234017942398595E-3</v>
      </c>
      <c r="N30" s="1">
        <f t="shared" si="18"/>
        <v>8.4188314884048928E-3</v>
      </c>
    </row>
    <row r="31" spans="1:14" x14ac:dyDescent="0.25">
      <c r="A31" s="4">
        <v>0</v>
      </c>
      <c r="B31" s="4">
        <v>1</v>
      </c>
      <c r="C31" s="4">
        <v>1</v>
      </c>
      <c r="E31" s="1">
        <f t="shared" si="7"/>
        <v>0.45319838509646104</v>
      </c>
      <c r="F31" s="1">
        <f t="shared" si="8"/>
        <v>6.4175013908223014E-2</v>
      </c>
      <c r="G31" s="1">
        <f t="shared" si="9"/>
        <v>0.12792498894995871</v>
      </c>
      <c r="H31" s="1">
        <f t="shared" si="1"/>
        <v>0.53423287532698782</v>
      </c>
      <c r="I31" s="1">
        <f t="shared" si="2"/>
        <v>1</v>
      </c>
      <c r="J31" s="1">
        <v>0</v>
      </c>
      <c r="K31" s="1">
        <f t="shared" si="3"/>
        <v>-0.53423287532698782</v>
      </c>
      <c r="L31" s="1">
        <f t="shared" si="16"/>
        <v>-4.8422695272725975E-2</v>
      </c>
      <c r="M31" s="1">
        <f t="shared" si="17"/>
        <v>-6.8568804408678831E-3</v>
      </c>
      <c r="N31" s="1">
        <f t="shared" si="18"/>
        <v>-1.3668346934581918E-2</v>
      </c>
    </row>
    <row r="32" spans="1:14" x14ac:dyDescent="0.25">
      <c r="A32" s="5">
        <v>0</v>
      </c>
      <c r="B32" s="5">
        <v>0</v>
      </c>
      <c r="C32" s="5">
        <v>0</v>
      </c>
      <c r="E32" s="1">
        <f t="shared" si="7"/>
        <v>0.40477568982373507</v>
      </c>
      <c r="F32" s="1">
        <f t="shared" si="8"/>
        <v>5.7318133467355134E-2</v>
      </c>
      <c r="G32" s="1">
        <f t="shared" si="9"/>
        <v>0.11425664201537679</v>
      </c>
      <c r="H32" s="1">
        <f t="shared" si="1"/>
        <v>0.46211715726000974</v>
      </c>
      <c r="I32" s="1">
        <f t="shared" si="2"/>
        <v>0</v>
      </c>
      <c r="J32" s="1">
        <v>1</v>
      </c>
      <c r="K32" s="1">
        <f t="shared" si="3"/>
        <v>0.53788284273999021</v>
      </c>
      <c r="L32" s="1">
        <f t="shared" si="16"/>
        <v>4.3544379742886233E-2</v>
      </c>
      <c r="M32" s="1">
        <f t="shared" si="17"/>
        <v>6.1660881139942308E-3</v>
      </c>
      <c r="N32" s="1">
        <f t="shared" si="18"/>
        <v>1.2291337481831255E-2</v>
      </c>
    </row>
    <row r="33" spans="1:14" x14ac:dyDescent="0.25">
      <c r="A33" s="1">
        <v>1</v>
      </c>
      <c r="B33" s="1">
        <v>1</v>
      </c>
      <c r="C33" s="1">
        <v>1</v>
      </c>
      <c r="E33" s="1">
        <f t="shared" si="7"/>
        <v>0.44832006956662129</v>
      </c>
      <c r="F33" s="1">
        <f t="shared" si="8"/>
        <v>6.3484221581349365E-2</v>
      </c>
      <c r="G33" s="1">
        <f t="shared" si="9"/>
        <v>0.12654797949720803</v>
      </c>
      <c r="H33" s="1">
        <f t="shared" si="1"/>
        <v>0.67462121179514967</v>
      </c>
      <c r="I33" s="1">
        <f t="shared" si="2"/>
        <v>1</v>
      </c>
      <c r="J33" s="1">
        <v>0</v>
      </c>
      <c r="K33" s="1">
        <f t="shared" si="3"/>
        <v>-0.67462121179514967</v>
      </c>
      <c r="L33" s="1">
        <f t="shared" si="16"/>
        <v>-6.0489245720623974E-2</v>
      </c>
      <c r="M33" s="1">
        <f t="shared" si="17"/>
        <v>-8.5655604986163408E-3</v>
      </c>
      <c r="N33" s="1">
        <f t="shared" si="18"/>
        <v>-1.7074390255726848E-2</v>
      </c>
    </row>
    <row r="34" spans="1:14" x14ac:dyDescent="0.25">
      <c r="A34" s="10">
        <v>1</v>
      </c>
      <c r="B34" s="10">
        <v>0</v>
      </c>
      <c r="C34" s="10">
        <v>0</v>
      </c>
      <c r="E34" s="1">
        <f t="shared" si="7"/>
        <v>0.38783082384599732</v>
      </c>
      <c r="F34" s="1">
        <f t="shared" si="8"/>
        <v>5.4918661082733022E-2</v>
      </c>
      <c r="G34" s="1">
        <f t="shared" si="9"/>
        <v>0.10947358924148118</v>
      </c>
      <c r="H34" s="1">
        <f t="shared" si="1"/>
        <v>0.60049144145123301</v>
      </c>
      <c r="I34" s="1">
        <f>ROUND(H34,0)</f>
        <v>1</v>
      </c>
      <c r="J34" s="1">
        <v>1</v>
      </c>
      <c r="K34" s="1">
        <f t="shared" si="3"/>
        <v>0.39950855854876699</v>
      </c>
      <c r="L34" s="1">
        <f>$O$2*E34*$K34</f>
        <v>3.0988346679099037E-2</v>
      </c>
      <c r="M34" s="1">
        <f>$O$2*F34*$K34</f>
        <v>4.3880950253181875E-3</v>
      </c>
      <c r="N34" s="1">
        <f>$O$2*G34*$K34</f>
        <v>8.7471271674047901E-3</v>
      </c>
    </row>
    <row r="35" spans="1:14" x14ac:dyDescent="0.25">
      <c r="A35" s="9">
        <v>0</v>
      </c>
      <c r="B35" s="9">
        <v>1</v>
      </c>
      <c r="C35" s="9">
        <v>0</v>
      </c>
      <c r="E35" s="1">
        <f t="shared" si="7"/>
        <v>0.41881917052509637</v>
      </c>
      <c r="F35" s="1">
        <f t="shared" si="8"/>
        <v>5.9306756108051209E-2</v>
      </c>
      <c r="G35" s="1">
        <f t="shared" si="9"/>
        <v>0.11822071640888597</v>
      </c>
      <c r="H35" s="1">
        <f t="shared" si="1"/>
        <v>0.48511608641383241</v>
      </c>
      <c r="I35" s="1">
        <f t="shared" si="2"/>
        <v>0</v>
      </c>
      <c r="J35" s="1">
        <v>0</v>
      </c>
      <c r="K35" s="1">
        <f t="shared" si="3"/>
        <v>-0.48511608641383241</v>
      </c>
      <c r="L35" s="1">
        <f t="shared" ref="L35:L41" si="19">$O$2*E35*$K35</f>
        <v>-4.0635183384044454E-2</v>
      </c>
      <c r="M35" s="1">
        <f t="shared" ref="M35:M41" si="20">$O$2*F35*$K35</f>
        <v>-5.7541322842074912E-3</v>
      </c>
      <c r="N35" s="1">
        <f t="shared" ref="N35:N41" si="21">$O$2*G35*$K35</f>
        <v>-1.147015425546366E-2</v>
      </c>
    </row>
    <row r="36" spans="1:14" x14ac:dyDescent="0.25">
      <c r="A36" s="8">
        <v>0</v>
      </c>
      <c r="B36" s="8">
        <v>0</v>
      </c>
      <c r="C36" s="8">
        <v>1</v>
      </c>
      <c r="E36" s="1">
        <f t="shared" si="7"/>
        <v>0.37818398714105195</v>
      </c>
      <c r="F36" s="1">
        <f t="shared" si="8"/>
        <v>5.3552623823843716E-2</v>
      </c>
      <c r="G36" s="1">
        <f t="shared" si="9"/>
        <v>0.10675056215342231</v>
      </c>
      <c r="H36" s="1">
        <f t="shared" si="1"/>
        <v>0.50304563918608258</v>
      </c>
      <c r="I36" s="1">
        <f t="shared" si="2"/>
        <v>1</v>
      </c>
      <c r="J36" s="1">
        <v>1</v>
      </c>
      <c r="K36" s="1">
        <f t="shared" si="3"/>
        <v>0.49695436081391742</v>
      </c>
      <c r="L36" s="1">
        <f t="shared" si="19"/>
        <v>3.7588036319948046E-2</v>
      </c>
      <c r="M36" s="1">
        <f t="shared" si="20"/>
        <v>5.3226419884572843E-3</v>
      </c>
      <c r="N36" s="1">
        <f t="shared" si="21"/>
        <v>1.0610031476296071E-2</v>
      </c>
    </row>
    <row r="37" spans="1:14" x14ac:dyDescent="0.25">
      <c r="A37" s="7">
        <v>1</v>
      </c>
      <c r="B37" s="7">
        <v>1</v>
      </c>
      <c r="C37" s="7">
        <v>0</v>
      </c>
      <c r="E37" s="1">
        <f t="shared" si="7"/>
        <v>0.41577202346100001</v>
      </c>
      <c r="F37" s="1">
        <f t="shared" si="8"/>
        <v>5.8875265812301E-2</v>
      </c>
      <c r="G37" s="1">
        <f t="shared" si="9"/>
        <v>0.11736059362971837</v>
      </c>
      <c r="H37" s="1">
        <f t="shared" si="1"/>
        <v>0.62752544732355697</v>
      </c>
      <c r="I37" s="1">
        <f t="shared" si="2"/>
        <v>1</v>
      </c>
      <c r="J37" s="1">
        <v>0</v>
      </c>
      <c r="K37" s="1">
        <f t="shared" si="3"/>
        <v>-0.62752544732355697</v>
      </c>
      <c r="L37" s="1">
        <f t="shared" si="19"/>
        <v>-5.2181505001396893E-2</v>
      </c>
      <c r="M37" s="1">
        <f t="shared" si="20"/>
        <v>-7.3891455030315016E-3</v>
      </c>
      <c r="N37" s="1">
        <f t="shared" si="21"/>
        <v>-1.4729351803129445E-2</v>
      </c>
    </row>
    <row r="38" spans="1:14" x14ac:dyDescent="0.25">
      <c r="A38" s="6">
        <v>1</v>
      </c>
      <c r="B38" s="6">
        <v>0</v>
      </c>
      <c r="C38" s="6">
        <v>1</v>
      </c>
      <c r="E38" s="1">
        <f t="shared" si="7"/>
        <v>0.36359051845960311</v>
      </c>
      <c r="F38" s="1">
        <f t="shared" si="8"/>
        <v>5.1486120309269495E-2</v>
      </c>
      <c r="G38" s="1">
        <f t="shared" si="9"/>
        <v>0.10263124182658893</v>
      </c>
      <c r="H38" s="1">
        <f t="shared" si="1"/>
        <v>0.62496486567321363</v>
      </c>
      <c r="I38" s="1">
        <f t="shared" si="2"/>
        <v>1</v>
      </c>
      <c r="J38" s="1">
        <v>1</v>
      </c>
      <c r="K38" s="1">
        <f t="shared" si="3"/>
        <v>0.37503513432678637</v>
      </c>
      <c r="L38" s="1">
        <f t="shared" si="19"/>
        <v>2.7271843786088632E-2</v>
      </c>
      <c r="M38" s="1">
        <f t="shared" si="20"/>
        <v>3.8618208092303938E-3</v>
      </c>
      <c r="N38" s="1">
        <f t="shared" si="21"/>
        <v>7.6980643129119352E-3</v>
      </c>
    </row>
    <row r="39" spans="1:14" x14ac:dyDescent="0.25">
      <c r="A39" s="4">
        <v>0</v>
      </c>
      <c r="B39" s="4">
        <v>1</v>
      </c>
      <c r="C39" s="4">
        <v>1</v>
      </c>
      <c r="E39" s="1">
        <f t="shared" si="7"/>
        <v>0.39086236224569176</v>
      </c>
      <c r="F39" s="1">
        <f t="shared" si="8"/>
        <v>5.5347941118499888E-2</v>
      </c>
      <c r="G39" s="1">
        <f t="shared" si="9"/>
        <v>0.11032930613950087</v>
      </c>
      <c r="H39" s="1">
        <f t="shared" si="1"/>
        <v>0.52472553850608294</v>
      </c>
      <c r="I39" s="1">
        <f t="shared" si="2"/>
        <v>1</v>
      </c>
      <c r="J39" s="1">
        <v>0</v>
      </c>
      <c r="K39" s="1">
        <f t="shared" si="3"/>
        <v>-0.52472553850608294</v>
      </c>
      <c r="L39" s="1">
        <f t="shared" si="19"/>
        <v>-4.1019092702226055E-2</v>
      </c>
      <c r="M39" s="1">
        <f t="shared" si="20"/>
        <v>-5.8084956417215651E-3</v>
      </c>
      <c r="N39" s="1">
        <f t="shared" si="21"/>
        <v>-1.1578520915410418E-2</v>
      </c>
    </row>
    <row r="40" spans="1:14" x14ac:dyDescent="0.25">
      <c r="A40" s="5">
        <v>0</v>
      </c>
      <c r="B40" s="5">
        <v>0</v>
      </c>
      <c r="C40" s="5">
        <v>0</v>
      </c>
      <c r="E40" s="1">
        <f t="shared" si="7"/>
        <v>0.34984326954346573</v>
      </c>
      <c r="F40" s="1">
        <f t="shared" si="8"/>
        <v>4.9539445476778327E-2</v>
      </c>
      <c r="G40" s="1">
        <f t="shared" si="9"/>
        <v>9.8750785224090448E-2</v>
      </c>
      <c r="H40" s="1">
        <f t="shared" si="1"/>
        <v>0.46211715726000974</v>
      </c>
      <c r="I40" s="1">
        <f t="shared" si="2"/>
        <v>0</v>
      </c>
      <c r="J40" s="1">
        <v>1</v>
      </c>
      <c r="K40" s="1">
        <f t="shared" si="3"/>
        <v>0.53788284273999021</v>
      </c>
      <c r="L40" s="1">
        <f t="shared" si="19"/>
        <v>3.7634938467098401E-2</v>
      </c>
      <c r="M40" s="1">
        <f t="shared" si="20"/>
        <v>5.3292835521624553E-3</v>
      </c>
      <c r="N40" s="1">
        <f t="shared" si="21"/>
        <v>1.0623270615827999E-2</v>
      </c>
    </row>
    <row r="41" spans="1:14" x14ac:dyDescent="0.25">
      <c r="A41" s="1">
        <v>1</v>
      </c>
      <c r="B41" s="1">
        <v>1</v>
      </c>
      <c r="C41" s="1">
        <v>1</v>
      </c>
      <c r="E41" s="1">
        <f t="shared" si="7"/>
        <v>0.38747820801056415</v>
      </c>
      <c r="F41" s="1">
        <f t="shared" si="8"/>
        <v>5.4868729028940785E-2</v>
      </c>
      <c r="G41" s="1">
        <f t="shared" si="9"/>
        <v>0.10937405583991845</v>
      </c>
      <c r="H41" s="1">
        <f t="shared" si="1"/>
        <v>0.65032431539789504</v>
      </c>
      <c r="I41" s="1">
        <f t="shared" si="2"/>
        <v>1</v>
      </c>
      <c r="J41" s="1">
        <v>0</v>
      </c>
      <c r="K41" s="1">
        <f t="shared" si="3"/>
        <v>-0.65032431539789504</v>
      </c>
      <c r="L41" s="1">
        <f t="shared" si="19"/>
        <v>-5.0397300071214665E-2</v>
      </c>
      <c r="M41" s="1">
        <f t="shared" si="20"/>
        <v>-7.1364937284997066E-3</v>
      </c>
      <c r="N41" s="1">
        <f t="shared" si="21"/>
        <v>-1.4225721597277223E-2</v>
      </c>
    </row>
    <row r="42" spans="1:14" x14ac:dyDescent="0.25">
      <c r="A42" s="10">
        <v>1</v>
      </c>
      <c r="B42" s="10">
        <v>0</v>
      </c>
      <c r="C42" s="10">
        <v>0</v>
      </c>
      <c r="E42" s="1">
        <f t="shared" si="7"/>
        <v>0.33708090793934947</v>
      </c>
      <c r="F42" s="1">
        <f t="shared" si="8"/>
        <v>4.773223530044108E-2</v>
      </c>
      <c r="G42" s="1">
        <f t="shared" si="9"/>
        <v>9.5148334242641228E-2</v>
      </c>
      <c r="H42" s="1">
        <f t="shared" si="1"/>
        <v>0.58401897589292207</v>
      </c>
      <c r="I42" s="1">
        <f>ROUND(H42,0)</f>
        <v>1</v>
      </c>
      <c r="J42" s="1">
        <v>1</v>
      </c>
      <c r="K42" s="1">
        <f t="shared" si="3"/>
        <v>0.41598102410707793</v>
      </c>
      <c r="L42" s="1">
        <f>$O$2*E42*$K42</f>
        <v>2.8043852258310853E-2</v>
      </c>
      <c r="M42" s="1">
        <f>$O$2*F42*$K42</f>
        <v>3.9711408246394997E-3</v>
      </c>
      <c r="N42" s="1">
        <f>$O$2*G42*$K42</f>
        <v>7.9159803040672917E-3</v>
      </c>
    </row>
    <row r="43" spans="1:14" x14ac:dyDescent="0.25">
      <c r="A43" s="9">
        <v>0</v>
      </c>
      <c r="B43" s="9">
        <v>1</v>
      </c>
      <c r="C43" s="9">
        <v>0</v>
      </c>
      <c r="E43" s="1">
        <f t="shared" si="7"/>
        <v>0.36512476019766033</v>
      </c>
      <c r="F43" s="1">
        <f t="shared" si="8"/>
        <v>5.170337612508058E-2</v>
      </c>
      <c r="G43" s="1">
        <f t="shared" si="9"/>
        <v>0.10306431454670852</v>
      </c>
      <c r="H43" s="1">
        <f t="shared" si="1"/>
        <v>0.48220371995350114</v>
      </c>
      <c r="I43" s="1">
        <f t="shared" si="2"/>
        <v>0</v>
      </c>
      <c r="J43" s="1">
        <v>0</v>
      </c>
      <c r="K43" s="1">
        <f t="shared" si="3"/>
        <v>-0.48220371995350114</v>
      </c>
      <c r="L43" s="1">
        <f t="shared" ref="L43:L49" si="22">$O$2*E43*$K43</f>
        <v>-3.5212903522888368E-2</v>
      </c>
      <c r="M43" s="1">
        <f t="shared" ref="M43:M49" si="23">$O$2*F43*$K43</f>
        <v>-4.9863120603337793E-3</v>
      </c>
      <c r="N43" s="1">
        <f t="shared" ref="N43:N49" si="24">$O$2*G43*$K43</f>
        <v>-9.9395991737761188E-3</v>
      </c>
    </row>
    <row r="44" spans="1:14" x14ac:dyDescent="0.25">
      <c r="A44" s="8">
        <v>0</v>
      </c>
      <c r="B44" s="8">
        <v>0</v>
      </c>
      <c r="C44" s="8">
        <v>1</v>
      </c>
      <c r="E44" s="1">
        <f t="shared" si="7"/>
        <v>0.32991185667477196</v>
      </c>
      <c r="F44" s="1">
        <f t="shared" si="8"/>
        <v>4.6717064064746801E-2</v>
      </c>
      <c r="G44" s="1">
        <f t="shared" si="9"/>
        <v>9.3124715372932404E-2</v>
      </c>
      <c r="H44" s="1">
        <f t="shared" si="1"/>
        <v>0.49793933817724695</v>
      </c>
      <c r="I44" s="1">
        <f t="shared" si="2"/>
        <v>0</v>
      </c>
      <c r="J44" s="1">
        <v>1</v>
      </c>
      <c r="K44" s="1">
        <f t="shared" si="3"/>
        <v>0.502060661822753</v>
      </c>
      <c r="L44" s="1">
        <f t="shared" si="22"/>
        <v>3.3127153021061853E-2</v>
      </c>
      <c r="M44" s="1">
        <f t="shared" si="23"/>
        <v>4.6909600205525467E-3</v>
      </c>
      <c r="N44" s="1">
        <f t="shared" si="24"/>
        <v>9.3508512464379884E-3</v>
      </c>
    </row>
    <row r="45" spans="1:14" x14ac:dyDescent="0.25">
      <c r="A45" s="7">
        <v>1</v>
      </c>
      <c r="B45" s="7">
        <v>1</v>
      </c>
      <c r="C45" s="7">
        <v>0</v>
      </c>
      <c r="E45" s="1">
        <f t="shared" si="7"/>
        <v>0.3630390096958338</v>
      </c>
      <c r="F45" s="1">
        <f t="shared" si="8"/>
        <v>5.1408024085299348E-2</v>
      </c>
      <c r="G45" s="1">
        <f t="shared" si="9"/>
        <v>0.10247556661937039</v>
      </c>
      <c r="H45" s="1">
        <f t="shared" si="1"/>
        <v>0.60893282043581509</v>
      </c>
      <c r="I45" s="1">
        <f t="shared" si="2"/>
        <v>1</v>
      </c>
      <c r="J45" s="1">
        <v>0</v>
      </c>
      <c r="K45" s="1">
        <f t="shared" si="3"/>
        <v>-0.60893282043581509</v>
      </c>
      <c r="L45" s="1">
        <f t="shared" si="22"/>
        <v>-4.421327362046186E-2</v>
      </c>
      <c r="M45" s="1">
        <f t="shared" si="23"/>
        <v>-6.2608066198587302E-3</v>
      </c>
      <c r="N45" s="1">
        <f t="shared" si="24"/>
        <v>-1.2480147161458297E-2</v>
      </c>
    </row>
    <row r="46" spans="1:14" x14ac:dyDescent="0.25">
      <c r="A46" s="6">
        <v>1</v>
      </c>
      <c r="B46" s="6">
        <v>0</v>
      </c>
      <c r="C46" s="6">
        <v>1</v>
      </c>
      <c r="E46" s="1">
        <f t="shared" si="7"/>
        <v>0.31882573607537196</v>
      </c>
      <c r="F46" s="1">
        <f t="shared" si="8"/>
        <v>4.514721746544062E-2</v>
      </c>
      <c r="G46" s="1">
        <f t="shared" si="9"/>
        <v>8.999541945791209E-2</v>
      </c>
      <c r="H46" s="1">
        <f t="shared" si="1"/>
        <v>0.60715988466242143</v>
      </c>
      <c r="I46" s="1">
        <f t="shared" si="2"/>
        <v>1</v>
      </c>
      <c r="J46" s="1">
        <v>1</v>
      </c>
      <c r="K46" s="1">
        <f t="shared" si="3"/>
        <v>0.39284011533757857</v>
      </c>
      <c r="L46" s="1">
        <f t="shared" si="22"/>
        <v>2.5049507786487502E-2</v>
      </c>
      <c r="M46" s="1">
        <f t="shared" si="23"/>
        <v>3.547127623258887E-3</v>
      </c>
      <c r="N46" s="1">
        <f t="shared" si="24"/>
        <v>7.0707621919399895E-3</v>
      </c>
    </row>
    <row r="47" spans="1:14" x14ac:dyDescent="0.25">
      <c r="A47" s="4">
        <v>0</v>
      </c>
      <c r="B47" s="4">
        <v>1</v>
      </c>
      <c r="C47" s="4">
        <v>1</v>
      </c>
      <c r="E47" s="1">
        <f t="shared" si="7"/>
        <v>0.34387524386185947</v>
      </c>
      <c r="F47" s="1">
        <f t="shared" si="8"/>
        <v>4.8694345088699506E-2</v>
      </c>
      <c r="G47" s="1">
        <f t="shared" si="9"/>
        <v>9.7066181649852076E-2</v>
      </c>
      <c r="H47" s="1">
        <f t="shared" si="1"/>
        <v>0.51747141625673099</v>
      </c>
      <c r="I47" s="1">
        <f t="shared" si="2"/>
        <v>1</v>
      </c>
      <c r="J47" s="1">
        <v>0</v>
      </c>
      <c r="K47" s="1">
        <f t="shared" si="3"/>
        <v>-0.51747141625673099</v>
      </c>
      <c r="L47" s="1">
        <f t="shared" si="22"/>
        <v>-3.5589121891365032E-2</v>
      </c>
      <c r="M47" s="1">
        <f t="shared" si="23"/>
        <v>-5.0395863433486659E-3</v>
      </c>
      <c r="N47" s="1">
        <f t="shared" si="24"/>
        <v>-1.0045794897796414E-2</v>
      </c>
    </row>
    <row r="48" spans="1:14" x14ac:dyDescent="0.25">
      <c r="A48" s="5">
        <v>0</v>
      </c>
      <c r="B48" s="5">
        <v>0</v>
      </c>
      <c r="C48" s="5">
        <v>0</v>
      </c>
      <c r="E48" s="1">
        <f t="shared" si="7"/>
        <v>0.30828612197049443</v>
      </c>
      <c r="F48" s="1">
        <f t="shared" si="8"/>
        <v>4.3654758745350838E-2</v>
      </c>
      <c r="G48" s="1">
        <f t="shared" si="9"/>
        <v>8.7020386752055659E-2</v>
      </c>
      <c r="H48" s="1">
        <f t="shared" si="1"/>
        <v>0.46211715726000974</v>
      </c>
      <c r="I48" s="1">
        <f t="shared" si="2"/>
        <v>0</v>
      </c>
      <c r="J48" s="1">
        <v>1</v>
      </c>
      <c r="K48" s="1">
        <f t="shared" si="3"/>
        <v>0.53788284273999021</v>
      </c>
      <c r="L48" s="1">
        <f t="shared" si="22"/>
        <v>3.3164363132555379E-2</v>
      </c>
      <c r="M48" s="1">
        <f t="shared" si="23"/>
        <v>4.6962291466155518E-3</v>
      </c>
      <c r="N48" s="1">
        <f t="shared" si="24"/>
        <v>9.3613546005058158E-3</v>
      </c>
    </row>
    <row r="49" spans="1:14" x14ac:dyDescent="0.25">
      <c r="A49" s="1">
        <v>1</v>
      </c>
      <c r="B49" s="1">
        <v>1</v>
      </c>
      <c r="C49" s="1">
        <v>1</v>
      </c>
      <c r="E49" s="1">
        <f t="shared" si="7"/>
        <v>0.34145048510304982</v>
      </c>
      <c r="F49" s="1">
        <f t="shared" si="8"/>
        <v>4.8350987891966388E-2</v>
      </c>
      <c r="G49" s="1">
        <f t="shared" si="9"/>
        <v>9.6381741352561473E-2</v>
      </c>
      <c r="H49" s="1">
        <f t="shared" si="1"/>
        <v>0.63100940537705608</v>
      </c>
      <c r="I49" s="1">
        <f t="shared" si="2"/>
        <v>1</v>
      </c>
      <c r="J49" s="1">
        <v>0</v>
      </c>
      <c r="K49" s="1">
        <f t="shared" si="3"/>
        <v>-0.63100940537705608</v>
      </c>
      <c r="L49" s="1">
        <f t="shared" si="22"/>
        <v>-4.3091693514116562E-2</v>
      </c>
      <c r="M49" s="1">
        <f t="shared" si="23"/>
        <v>-6.1019856238205897E-3</v>
      </c>
      <c r="N49" s="1">
        <f t="shared" si="24"/>
        <v>-1.2163557060017007E-2</v>
      </c>
    </row>
    <row r="50" spans="1:14" x14ac:dyDescent="0.25">
      <c r="A50" s="10">
        <v>1</v>
      </c>
      <c r="B50" s="10">
        <v>0</v>
      </c>
      <c r="C50" s="10">
        <v>0</v>
      </c>
      <c r="E50" s="1">
        <f t="shared" si="7"/>
        <v>0.29835879158893325</v>
      </c>
      <c r="F50" s="1">
        <f t="shared" si="8"/>
        <v>4.2249002268145798E-2</v>
      </c>
      <c r="G50" s="1">
        <f t="shared" si="9"/>
        <v>8.4218184292544462E-2</v>
      </c>
      <c r="H50" s="1">
        <f t="shared" si="1"/>
        <v>0.57111728156059061</v>
      </c>
      <c r="I50" s="1">
        <f>ROUND(H50,0)</f>
        <v>1</v>
      </c>
      <c r="J50" s="1">
        <v>1</v>
      </c>
      <c r="K50" s="1">
        <f t="shared" si="3"/>
        <v>0.42888271843940939</v>
      </c>
      <c r="L50" s="1">
        <f>$O$2*E50*$K50</f>
        <v>2.5592185921391779E-2</v>
      </c>
      <c r="M50" s="1">
        <f>$O$2*F50*$K50</f>
        <v>3.6239733888230293E-3</v>
      </c>
      <c r="N50" s="1">
        <f>$O$2*G50*$K50</f>
        <v>7.2239447642835283E-3</v>
      </c>
    </row>
    <row r="51" spans="1:14" x14ac:dyDescent="0.25">
      <c r="A51" s="9">
        <v>0</v>
      </c>
      <c r="B51" s="9">
        <v>1</v>
      </c>
      <c r="C51" s="9">
        <v>0</v>
      </c>
      <c r="E51" s="1">
        <f t="shared" si="7"/>
        <v>0.32395097751032503</v>
      </c>
      <c r="F51" s="1">
        <f t="shared" si="8"/>
        <v>4.587297565696883E-2</v>
      </c>
      <c r="G51" s="1">
        <f t="shared" si="9"/>
        <v>9.1442129056827998E-2</v>
      </c>
      <c r="H51" s="1">
        <f t="shared" si="1"/>
        <v>0.47996322015483539</v>
      </c>
      <c r="I51" s="1">
        <f t="shared" si="2"/>
        <v>0</v>
      </c>
      <c r="J51" s="1">
        <v>0</v>
      </c>
      <c r="K51" s="1">
        <f t="shared" si="3"/>
        <v>-0.47996322015483539</v>
      </c>
      <c r="L51" s="1">
        <f t="shared" ref="L51:L57" si="25">$O$2*E51*$K51</f>
        <v>-3.1096910867632454E-2</v>
      </c>
      <c r="M51" s="1">
        <f t="shared" ref="M51:M57" si="26">$O$2*F51*$K51</f>
        <v>-4.4034682228806269E-3</v>
      </c>
      <c r="N51" s="1">
        <f t="shared" ref="N51:N57" si="27">$O$2*G51*$K51</f>
        <v>-8.7777717439858419E-3</v>
      </c>
    </row>
    <row r="52" spans="1:14" x14ac:dyDescent="0.25">
      <c r="A52" s="8">
        <v>0</v>
      </c>
      <c r="B52" s="8">
        <v>0</v>
      </c>
      <c r="C52" s="8">
        <v>1</v>
      </c>
      <c r="E52" s="1">
        <f t="shared" si="7"/>
        <v>0.29285406664269259</v>
      </c>
      <c r="F52" s="1">
        <f t="shared" si="8"/>
        <v>4.1469507434088206E-2</v>
      </c>
      <c r="G52" s="1">
        <f t="shared" si="9"/>
        <v>8.2664357312842163E-2</v>
      </c>
      <c r="H52" s="1">
        <f t="shared" si="1"/>
        <v>0.4939957140151518</v>
      </c>
      <c r="I52" s="1">
        <f t="shared" si="2"/>
        <v>0</v>
      </c>
      <c r="J52" s="1">
        <v>1</v>
      </c>
      <c r="K52" s="1">
        <f t="shared" si="3"/>
        <v>0.50600428598484815</v>
      </c>
      <c r="L52" s="1">
        <f t="shared" si="25"/>
        <v>2.9637082577858961E-2</v>
      </c>
      <c r="M52" s="1">
        <f t="shared" si="26"/>
        <v>4.1967496998658307E-3</v>
      </c>
      <c r="N52" s="1">
        <f t="shared" si="27"/>
        <v>8.3657038196962123E-3</v>
      </c>
    </row>
    <row r="53" spans="1:14" x14ac:dyDescent="0.25">
      <c r="A53" s="7">
        <v>1</v>
      </c>
      <c r="B53" s="7">
        <v>1</v>
      </c>
      <c r="C53" s="7">
        <v>0</v>
      </c>
      <c r="E53" s="1">
        <f t="shared" si="7"/>
        <v>0.32249114922055155</v>
      </c>
      <c r="F53" s="1">
        <f t="shared" si="8"/>
        <v>4.5666257133954037E-2</v>
      </c>
      <c r="G53" s="1">
        <f t="shared" si="9"/>
        <v>9.1030061132538378E-2</v>
      </c>
      <c r="H53" s="1">
        <f t="shared" si="1"/>
        <v>0.59416458343122902</v>
      </c>
      <c r="I53" s="1">
        <f t="shared" si="2"/>
        <v>1</v>
      </c>
      <c r="J53" s="1">
        <v>0</v>
      </c>
      <c r="K53" s="1">
        <f t="shared" si="3"/>
        <v>-0.59416458343122902</v>
      </c>
      <c r="L53" s="1">
        <f t="shared" si="25"/>
        <v>-3.8322563867377465E-2</v>
      </c>
      <c r="M53" s="1">
        <f t="shared" si="26"/>
        <v>-5.4266545293718384E-3</v>
      </c>
      <c r="N53" s="1">
        <f t="shared" si="27"/>
        <v>-1.0817367670506797E-2</v>
      </c>
    </row>
    <row r="54" spans="1:14" x14ac:dyDescent="0.25">
      <c r="A54" s="6">
        <v>1</v>
      </c>
      <c r="B54" s="6">
        <v>0</v>
      </c>
      <c r="C54" s="6">
        <v>1</v>
      </c>
      <c r="E54" s="1">
        <f t="shared" si="7"/>
        <v>0.28416858535317407</v>
      </c>
      <c r="F54" s="1">
        <f t="shared" si="8"/>
        <v>4.0239602604582196E-2</v>
      </c>
      <c r="G54" s="1">
        <f t="shared" si="9"/>
        <v>8.0212693462031581E-2</v>
      </c>
      <c r="H54" s="1">
        <f t="shared" si="1"/>
        <v>0.59294169533686525</v>
      </c>
      <c r="I54" s="1">
        <f t="shared" si="2"/>
        <v>1</v>
      </c>
      <c r="J54" s="1">
        <v>1</v>
      </c>
      <c r="K54" s="1">
        <f t="shared" si="3"/>
        <v>0.40705830466313475</v>
      </c>
      <c r="L54" s="1">
        <f t="shared" si="25"/>
        <v>2.3134636518476869E-2</v>
      </c>
      <c r="M54" s="1">
        <f t="shared" si="26"/>
        <v>3.2759728833078984E-3</v>
      </c>
      <c r="N54" s="1">
        <f t="shared" si="27"/>
        <v>6.5302486026236582E-3</v>
      </c>
    </row>
    <row r="55" spans="1:14" x14ac:dyDescent="0.25">
      <c r="A55" s="4">
        <v>0</v>
      </c>
      <c r="B55" s="4">
        <v>1</v>
      </c>
      <c r="C55" s="4">
        <v>1</v>
      </c>
      <c r="E55" s="1">
        <f t="shared" si="7"/>
        <v>0.30730322187165093</v>
      </c>
      <c r="F55" s="1">
        <f t="shared" si="8"/>
        <v>4.3515575487890097E-2</v>
      </c>
      <c r="G55" s="1">
        <f t="shared" si="9"/>
        <v>8.6742942064655243E-2</v>
      </c>
      <c r="H55" s="1">
        <f t="shared" si="1"/>
        <v>0.51177320887586619</v>
      </c>
      <c r="I55" s="1">
        <f t="shared" si="2"/>
        <v>1</v>
      </c>
      <c r="J55" s="1">
        <v>0</v>
      </c>
      <c r="K55" s="1">
        <f t="shared" si="3"/>
        <v>-0.51177320887586619</v>
      </c>
      <c r="L55" s="1">
        <f t="shared" si="25"/>
        <v>-3.1453911191029416E-2</v>
      </c>
      <c r="M55" s="1">
        <f t="shared" si="26"/>
        <v>-4.4540211407034999E-3</v>
      </c>
      <c r="N55" s="1">
        <f t="shared" si="27"/>
        <v>-8.8785427615523937E-3</v>
      </c>
    </row>
    <row r="56" spans="1:14" x14ac:dyDescent="0.25">
      <c r="A56" s="5">
        <v>0</v>
      </c>
      <c r="B56" s="5">
        <v>0</v>
      </c>
      <c r="C56" s="5">
        <v>0</v>
      </c>
      <c r="E56" s="1">
        <f t="shared" si="7"/>
        <v>0.27584931068062152</v>
      </c>
      <c r="F56" s="1">
        <f t="shared" si="8"/>
        <v>3.9061554347186597E-2</v>
      </c>
      <c r="G56" s="1">
        <f t="shared" si="9"/>
        <v>7.7864399303102849E-2</v>
      </c>
      <c r="H56" s="1">
        <f t="shared" si="1"/>
        <v>0.46211715726000974</v>
      </c>
      <c r="I56" s="1">
        <f t="shared" si="2"/>
        <v>0</v>
      </c>
      <c r="J56" s="1">
        <v>1</v>
      </c>
      <c r="K56" s="1">
        <f t="shared" si="3"/>
        <v>0.53788284273999021</v>
      </c>
      <c r="L56" s="1">
        <f t="shared" si="25"/>
        <v>2.9674922279351892E-2</v>
      </c>
      <c r="M56" s="1">
        <f t="shared" si="26"/>
        <v>4.2021079788214701E-3</v>
      </c>
      <c r="N56" s="1">
        <f t="shared" si="27"/>
        <v>8.3763848890789343E-3</v>
      </c>
    </row>
    <row r="57" spans="1:14" x14ac:dyDescent="0.25">
      <c r="A57" s="1">
        <v>1</v>
      </c>
      <c r="B57" s="1">
        <v>1</v>
      </c>
      <c r="C57" s="1">
        <v>1</v>
      </c>
      <c r="E57" s="1">
        <f t="shared" si="7"/>
        <v>0.30552423295997339</v>
      </c>
      <c r="F57" s="1">
        <f t="shared" si="8"/>
        <v>4.3263662326008069E-2</v>
      </c>
      <c r="G57" s="1">
        <f t="shared" si="9"/>
        <v>8.6240784192181785E-2</v>
      </c>
      <c r="H57" s="1">
        <f t="shared" si="1"/>
        <v>0.61536726653570495</v>
      </c>
      <c r="I57" s="1">
        <f t="shared" si="2"/>
        <v>1</v>
      </c>
      <c r="J57" s="1">
        <v>0</v>
      </c>
      <c r="K57" s="1">
        <f t="shared" si="3"/>
        <v>-0.61536726653570495</v>
      </c>
      <c r="L57" s="1">
        <f t="shared" si="25"/>
        <v>-3.7601922419399351E-2</v>
      </c>
      <c r="M57" s="1">
        <f t="shared" si="26"/>
        <v>-5.3246083251758695E-3</v>
      </c>
      <c r="N57" s="1">
        <f t="shared" si="27"/>
        <v>-1.0613951126447708E-2</v>
      </c>
    </row>
    <row r="58" spans="1:14" x14ac:dyDescent="0.25">
      <c r="A58" s="10">
        <v>1</v>
      </c>
      <c r="B58" s="10">
        <v>0</v>
      </c>
      <c r="C58" s="10">
        <v>0</v>
      </c>
      <c r="E58" s="1">
        <f t="shared" si="7"/>
        <v>0.26792231054057403</v>
      </c>
      <c r="F58" s="1">
        <f t="shared" si="8"/>
        <v>3.7939054000832202E-2</v>
      </c>
      <c r="G58" s="1">
        <f t="shared" si="9"/>
        <v>7.5626833065734075E-2</v>
      </c>
      <c r="H58" s="1">
        <f t="shared" si="1"/>
        <v>0.56077374857418527</v>
      </c>
      <c r="I58" s="1">
        <f>ROUND(H58,0)</f>
        <v>1</v>
      </c>
      <c r="J58" s="1">
        <v>1</v>
      </c>
      <c r="K58" s="1">
        <f t="shared" si="3"/>
        <v>0.43922625142581473</v>
      </c>
      <c r="L58" s="1">
        <f>$O$2*E58*$K58</f>
        <v>2.3535702426415877E-2</v>
      </c>
      <c r="M58" s="1">
        <f>$O$2*F58*$K58</f>
        <v>3.3327656942854175E-3</v>
      </c>
      <c r="N58" s="1">
        <f>$O$2*G58*$K58</f>
        <v>6.6434580789336475E-3</v>
      </c>
    </row>
    <row r="59" spans="1:14" x14ac:dyDescent="0.25">
      <c r="A59" s="9">
        <v>0</v>
      </c>
      <c r="B59" s="9">
        <v>1</v>
      </c>
      <c r="C59" s="9">
        <v>0</v>
      </c>
      <c r="E59" s="1">
        <f t="shared" si="7"/>
        <v>0.29145801296698992</v>
      </c>
      <c r="F59" s="1">
        <f t="shared" si="8"/>
        <v>4.1271819695117617E-2</v>
      </c>
      <c r="G59" s="1">
        <f t="shared" si="9"/>
        <v>8.2270291144667718E-2</v>
      </c>
      <c r="H59" s="1">
        <f t="shared" si="1"/>
        <v>0.47819065999250865</v>
      </c>
      <c r="I59" s="1">
        <f t="shared" si="2"/>
        <v>0</v>
      </c>
      <c r="J59" s="1">
        <v>0</v>
      </c>
      <c r="K59" s="1">
        <f t="shared" si="3"/>
        <v>-0.47819065999250865</v>
      </c>
      <c r="L59" s="1">
        <f t="shared" ref="L59:L65" si="28">$O$2*E59*$K59</f>
        <v>-2.7874499916158015E-2</v>
      </c>
      <c r="M59" s="1">
        <f t="shared" ref="M59:M65" si="29">$O$2*F59*$K59</f>
        <v>-3.9471597398200225E-3</v>
      </c>
      <c r="N59" s="1">
        <f t="shared" ref="N59:N65" si="30">$O$2*G59*$K59</f>
        <v>-7.868176964048899E-3</v>
      </c>
    </row>
    <row r="60" spans="1:14" x14ac:dyDescent="0.25">
      <c r="A60" s="8">
        <v>0</v>
      </c>
      <c r="B60" s="8">
        <v>0</v>
      </c>
      <c r="C60" s="8">
        <v>1</v>
      </c>
      <c r="E60" s="1">
        <f t="shared" si="7"/>
        <v>0.26358351305083189</v>
      </c>
      <c r="F60" s="1">
        <f t="shared" si="8"/>
        <v>3.7324659955297594E-2</v>
      </c>
      <c r="G60" s="1">
        <f t="shared" si="9"/>
        <v>7.4402114180618817E-2</v>
      </c>
      <c r="H60" s="1">
        <f t="shared" si="1"/>
        <v>0.49086634886845021</v>
      </c>
      <c r="I60" s="1">
        <f t="shared" si="2"/>
        <v>0</v>
      </c>
      <c r="J60" s="1">
        <v>1</v>
      </c>
      <c r="K60" s="1">
        <f t="shared" si="3"/>
        <v>0.50913365113154985</v>
      </c>
      <c r="L60" s="1">
        <f t="shared" si="28"/>
        <v>2.6839847275530113E-2</v>
      </c>
      <c r="M60" s="1">
        <f t="shared" si="29"/>
        <v>3.8006480800568429E-3</v>
      </c>
      <c r="N60" s="1">
        <f t="shared" si="30"/>
        <v>7.576124008936984E-3</v>
      </c>
    </row>
    <row r="61" spans="1:14" x14ac:dyDescent="0.25">
      <c r="A61" s="7">
        <v>1</v>
      </c>
      <c r="B61" s="7">
        <v>1</v>
      </c>
      <c r="C61" s="7">
        <v>0</v>
      </c>
      <c r="E61" s="1">
        <f t="shared" si="7"/>
        <v>0.29042336032636201</v>
      </c>
      <c r="F61" s="1">
        <f t="shared" si="8"/>
        <v>4.1125308035354434E-2</v>
      </c>
      <c r="G61" s="1">
        <f t="shared" si="9"/>
        <v>8.1978238189555797E-2</v>
      </c>
      <c r="H61" s="1">
        <f t="shared" si="1"/>
        <v>0.58219337462218768</v>
      </c>
      <c r="I61" s="1">
        <f t="shared" si="2"/>
        <v>1</v>
      </c>
      <c r="J61" s="1">
        <v>0</v>
      </c>
      <c r="K61" s="1">
        <f t="shared" si="3"/>
        <v>-0.58219337462218768</v>
      </c>
      <c r="L61" s="1">
        <f t="shared" si="28"/>
        <v>-3.3816511243504058E-2</v>
      </c>
      <c r="M61" s="1">
        <f t="shared" si="29"/>
        <v>-4.7885763734959938E-3</v>
      </c>
      <c r="N61" s="1">
        <f t="shared" si="30"/>
        <v>-9.5454374274317987E-3</v>
      </c>
    </row>
    <row r="62" spans="1:14" x14ac:dyDescent="0.25">
      <c r="A62" s="6">
        <v>1</v>
      </c>
      <c r="B62" s="6">
        <v>0</v>
      </c>
      <c r="C62" s="6">
        <v>1</v>
      </c>
      <c r="E62" s="1">
        <f t="shared" si="7"/>
        <v>0.25660684908285797</v>
      </c>
      <c r="F62" s="1">
        <f t="shared" si="8"/>
        <v>3.633673166185844E-2</v>
      </c>
      <c r="G62" s="1">
        <f t="shared" si="9"/>
        <v>7.2432800762123994E-2</v>
      </c>
      <c r="H62" s="1">
        <f t="shared" si="1"/>
        <v>0.58136347448352488</v>
      </c>
      <c r="I62" s="1">
        <f t="shared" si="2"/>
        <v>1</v>
      </c>
      <c r="J62" s="1">
        <v>1</v>
      </c>
      <c r="K62" s="1">
        <f t="shared" si="3"/>
        <v>0.41863652551647512</v>
      </c>
      <c r="L62" s="1">
        <f t="shared" si="28"/>
        <v>2.1484999944755629E-2</v>
      </c>
      <c r="M62" s="1">
        <f t="shared" si="29"/>
        <v>3.0423766183089824E-3</v>
      </c>
      <c r="N62" s="1">
        <f t="shared" si="30"/>
        <v>6.0646032088965364E-3</v>
      </c>
    </row>
    <row r="63" spans="1:14" x14ac:dyDescent="0.25">
      <c r="A63" s="4">
        <v>0</v>
      </c>
      <c r="B63" s="4">
        <v>1</v>
      </c>
      <c r="C63" s="4">
        <v>1</v>
      </c>
      <c r="E63" s="1">
        <f t="shared" si="7"/>
        <v>0.27809184902761358</v>
      </c>
      <c r="F63" s="1">
        <f t="shared" si="8"/>
        <v>3.937910828016742E-2</v>
      </c>
      <c r="G63" s="1">
        <f t="shared" si="9"/>
        <v>7.8497403971020535E-2</v>
      </c>
      <c r="H63" s="1">
        <f t="shared" si="1"/>
        <v>0.50718923774086755</v>
      </c>
      <c r="I63" s="1">
        <f t="shared" si="2"/>
        <v>1</v>
      </c>
      <c r="J63" s="1">
        <v>0</v>
      </c>
      <c r="K63" s="1">
        <f t="shared" si="3"/>
        <v>-0.50718923774086755</v>
      </c>
      <c r="L63" s="1">
        <f t="shared" si="28"/>
        <v>-2.820903858605275E-2</v>
      </c>
      <c r="M63" s="1">
        <f t="shared" si="29"/>
        <v>-3.9945319823066396E-3</v>
      </c>
      <c r="N63" s="1">
        <f t="shared" si="30"/>
        <v>-7.9626076969397715E-3</v>
      </c>
    </row>
    <row r="64" spans="1:14" x14ac:dyDescent="0.25">
      <c r="A64" s="5">
        <v>0</v>
      </c>
      <c r="B64" s="5">
        <v>0</v>
      </c>
      <c r="C64" s="5">
        <v>0</v>
      </c>
      <c r="E64" s="1">
        <f t="shared" si="7"/>
        <v>0.24988281044156083</v>
      </c>
      <c r="F64" s="1">
        <f t="shared" si="8"/>
        <v>3.5384576297860779E-2</v>
      </c>
      <c r="G64" s="1">
        <f t="shared" si="9"/>
        <v>7.0534796274080769E-2</v>
      </c>
      <c r="H64" s="1">
        <f t="shared" si="1"/>
        <v>0.46211715726000974</v>
      </c>
      <c r="I64" s="1">
        <f t="shared" si="2"/>
        <v>0</v>
      </c>
      <c r="J64" s="1">
        <v>1</v>
      </c>
      <c r="K64" s="1">
        <f t="shared" si="3"/>
        <v>0.53788284273999021</v>
      </c>
      <c r="L64" s="1">
        <f t="shared" si="28"/>
        <v>2.6881535286432969E-2</v>
      </c>
      <c r="M64" s="1">
        <f t="shared" si="29"/>
        <v>3.806551297648687E-3</v>
      </c>
      <c r="N64" s="1">
        <f t="shared" si="30"/>
        <v>7.5878913463977276E-3</v>
      </c>
    </row>
    <row r="65" spans="1:14" x14ac:dyDescent="0.25">
      <c r="A65" s="1">
        <v>1</v>
      </c>
      <c r="B65" s="1">
        <v>1</v>
      </c>
      <c r="C65" s="1">
        <v>1</v>
      </c>
      <c r="E65" s="1">
        <f t="shared" si="7"/>
        <v>0.2767643457279938</v>
      </c>
      <c r="F65" s="1">
        <f t="shared" si="8"/>
        <v>3.9191127595509467E-2</v>
      </c>
      <c r="G65" s="1">
        <f t="shared" si="9"/>
        <v>7.8122687620478498E-2</v>
      </c>
      <c r="H65" s="1">
        <f t="shared" si="1"/>
        <v>0.60248500057294241</v>
      </c>
      <c r="I65" s="1">
        <f t="shared" si="2"/>
        <v>1</v>
      </c>
      <c r="J65" s="1">
        <v>0</v>
      </c>
      <c r="K65" s="1">
        <f t="shared" si="3"/>
        <v>-0.60248500057294241</v>
      </c>
      <c r="L65" s="1">
        <f t="shared" si="28"/>
        <v>-3.3349273398900078E-2</v>
      </c>
      <c r="M65" s="1">
        <f t="shared" si="29"/>
        <v>-4.7224133063669569E-3</v>
      </c>
      <c r="N65" s="1">
        <f t="shared" si="30"/>
        <v>-9.4135494991567578E-3</v>
      </c>
    </row>
    <row r="66" spans="1:14" x14ac:dyDescent="0.25">
      <c r="A66" s="10">
        <v>1</v>
      </c>
      <c r="B66" s="10">
        <v>0</v>
      </c>
      <c r="C66" s="10">
        <v>0</v>
      </c>
      <c r="E66" s="1">
        <f t="shared" si="7"/>
        <v>0.24341507232909371</v>
      </c>
      <c r="F66" s="1">
        <f t="shared" si="8"/>
        <v>3.4468714289142513E-2</v>
      </c>
      <c r="G66" s="1">
        <f t="shared" si="9"/>
        <v>6.8709138121321733E-2</v>
      </c>
      <c r="H66" s="1">
        <f t="shared" si="1"/>
        <v>0.55231579514854934</v>
      </c>
      <c r="I66" s="1">
        <f>ROUND(H66,0)</f>
        <v>1</v>
      </c>
      <c r="J66" s="1">
        <v>1</v>
      </c>
      <c r="K66" s="1">
        <f t="shared" si="3"/>
        <v>0.44768420485145066</v>
      </c>
      <c r="L66" s="1">
        <f>$O$2*E66*$K66</f>
        <v>2.1794616620901732E-2</v>
      </c>
      <c r="M66" s="1">
        <f>$O$2*F66*$K66</f>
        <v>3.0862197897573206E-3</v>
      </c>
      <c r="N66" s="1">
        <f>$O$2*G66*$K66</f>
        <v>6.1519991731744834E-3</v>
      </c>
    </row>
    <row r="67" spans="1:14" x14ac:dyDescent="0.25">
      <c r="A67" s="9">
        <v>0</v>
      </c>
      <c r="B67" s="9">
        <v>1</v>
      </c>
      <c r="C67" s="9">
        <v>0</v>
      </c>
      <c r="E67" s="1">
        <f t="shared" si="7"/>
        <v>0.26520968894999541</v>
      </c>
      <c r="F67" s="1">
        <f t="shared" si="8"/>
        <v>3.7554934078899836E-2</v>
      </c>
      <c r="G67" s="1">
        <f t="shared" si="9"/>
        <v>7.4861137294496213E-2</v>
      </c>
      <c r="H67" s="1">
        <f t="shared" ref="H67:H101" si="31">sigmoid((E67*A67)+(F67*B67)+(G67*C67)+$P$2)</f>
        <v>0.47675590703986187</v>
      </c>
      <c r="I67" s="1">
        <f t="shared" si="2"/>
        <v>0</v>
      </c>
      <c r="J67" s="1">
        <v>0</v>
      </c>
      <c r="K67" s="1">
        <f t="shared" ref="K67:K81" si="32">J67-H67</f>
        <v>-0.47675590703986187</v>
      </c>
      <c r="L67" s="1">
        <f t="shared" ref="L67:L73" si="33">$O$2*E67*$K67</f>
        <v>-2.5288057162222939E-2</v>
      </c>
      <c r="M67" s="1">
        <f t="shared" ref="M67:M73" si="34">$O$2*F67*$K67</f>
        <v>-3.5809073321216222E-3</v>
      </c>
      <c r="N67" s="1">
        <f t="shared" ref="N67:N73" si="35">$O$2*G67*$K67</f>
        <v>-7.1380978825746344E-3</v>
      </c>
    </row>
    <row r="68" spans="1:14" x14ac:dyDescent="0.25">
      <c r="A68" s="8">
        <v>0</v>
      </c>
      <c r="B68" s="8">
        <v>0</v>
      </c>
      <c r="C68" s="8">
        <v>1</v>
      </c>
      <c r="E68" s="1">
        <f t="shared" si="7"/>
        <v>0.23992163178777248</v>
      </c>
      <c r="F68" s="1">
        <f t="shared" si="8"/>
        <v>3.3974026746778213E-2</v>
      </c>
      <c r="G68" s="1">
        <f t="shared" si="9"/>
        <v>6.7723039411921579E-2</v>
      </c>
      <c r="H68" s="1">
        <f t="shared" si="31"/>
        <v>0.48832731955003433</v>
      </c>
      <c r="I68" s="1">
        <f t="shared" ref="I68:I73" si="36">ROUND(H68,0)</f>
        <v>0</v>
      </c>
      <c r="J68" s="1">
        <v>1</v>
      </c>
      <c r="K68" s="1">
        <f t="shared" si="32"/>
        <v>0.51167268044996561</v>
      </c>
      <c r="L68" s="1">
        <f t="shared" si="33"/>
        <v>2.4552268886955848E-2</v>
      </c>
      <c r="M68" s="1">
        <f t="shared" si="34"/>
        <v>3.4767162662405668E-3</v>
      </c>
      <c r="N68" s="1">
        <f t="shared" si="35"/>
        <v>6.9304058208233162E-3</v>
      </c>
    </row>
    <row r="69" spans="1:14" x14ac:dyDescent="0.25">
      <c r="A69" s="7">
        <v>1</v>
      </c>
      <c r="B69" s="7">
        <v>1</v>
      </c>
      <c r="C69" s="7">
        <v>0</v>
      </c>
      <c r="E69" s="1">
        <f t="shared" si="7"/>
        <v>0.26447390067472831</v>
      </c>
      <c r="F69" s="1">
        <f t="shared" si="8"/>
        <v>3.7450743013018782E-2</v>
      </c>
      <c r="G69" s="1">
        <f t="shared" si="9"/>
        <v>7.4653445232744892E-2</v>
      </c>
      <c r="H69" s="1">
        <f t="shared" si="31"/>
        <v>0.57231743845292415</v>
      </c>
      <c r="I69" s="1">
        <f t="shared" si="36"/>
        <v>1</v>
      </c>
      <c r="J69" s="1">
        <v>0</v>
      </c>
      <c r="K69" s="1">
        <f t="shared" si="32"/>
        <v>-0.57231743845292415</v>
      </c>
      <c r="L69" s="1">
        <f t="shared" si="33"/>
        <v>-3.0272605074362722E-2</v>
      </c>
      <c r="M69" s="1">
        <f t="shared" si="34"/>
        <v>-4.286742661873932E-3</v>
      </c>
      <c r="N69" s="1">
        <f t="shared" si="35"/>
        <v>-8.5450937094580445E-3</v>
      </c>
    </row>
    <row r="70" spans="1:14" x14ac:dyDescent="0.25">
      <c r="A70" s="6">
        <v>1</v>
      </c>
      <c r="B70" s="6">
        <v>0</v>
      </c>
      <c r="C70" s="6">
        <v>1</v>
      </c>
      <c r="E70" s="1">
        <f t="shared" si="7"/>
        <v>0.23420129560036559</v>
      </c>
      <c r="F70" s="1">
        <f t="shared" si="8"/>
        <v>3.3164000351144848E-2</v>
      </c>
      <c r="G70" s="1">
        <f t="shared" si="9"/>
        <v>6.610835152328684E-2</v>
      </c>
      <c r="H70" s="1">
        <f t="shared" si="31"/>
        <v>0.5717741830679578</v>
      </c>
      <c r="I70" s="1">
        <f t="shared" si="36"/>
        <v>1</v>
      </c>
      <c r="J70" s="1">
        <v>1</v>
      </c>
      <c r="K70" s="1">
        <f t="shared" si="32"/>
        <v>0.4282258169320422</v>
      </c>
      <c r="L70" s="1">
        <f t="shared" si="33"/>
        <v>2.0058208227001852E-2</v>
      </c>
      <c r="M70" s="1">
        <f t="shared" si="34"/>
        <v>2.8403362286207076E-3</v>
      </c>
      <c r="N70" s="1">
        <f t="shared" si="35"/>
        <v>5.6618605674180252E-3</v>
      </c>
    </row>
    <row r="71" spans="1:14" x14ac:dyDescent="0.25">
      <c r="A71" s="4">
        <v>0</v>
      </c>
      <c r="B71" s="4">
        <v>1</v>
      </c>
      <c r="C71" s="4">
        <v>1</v>
      </c>
      <c r="E71" s="1">
        <f t="shared" si="7"/>
        <v>0.25425950382736745</v>
      </c>
      <c r="F71" s="1">
        <f t="shared" si="8"/>
        <v>3.6004336579765553E-2</v>
      </c>
      <c r="G71" s="1">
        <f t="shared" si="9"/>
        <v>7.177021209070486E-2</v>
      </c>
      <c r="H71" s="1">
        <f t="shared" si="31"/>
        <v>0.50342797152864938</v>
      </c>
      <c r="I71" s="1">
        <f t="shared" si="36"/>
        <v>1</v>
      </c>
      <c r="J71" s="1">
        <v>0</v>
      </c>
      <c r="K71" s="1">
        <f t="shared" si="32"/>
        <v>-0.50342797152864938</v>
      </c>
      <c r="L71" s="1">
        <f t="shared" si="33"/>
        <v>-2.5600269250738494E-2</v>
      </c>
      <c r="M71" s="1">
        <f t="shared" si="34"/>
        <v>-3.6251180261172244E-3</v>
      </c>
      <c r="N71" s="1">
        <f t="shared" si="35"/>
        <v>-7.2262264578008993E-3</v>
      </c>
    </row>
    <row r="72" spans="1:14" x14ac:dyDescent="0.25">
      <c r="A72" s="5">
        <v>0</v>
      </c>
      <c r="B72" s="5">
        <v>0</v>
      </c>
      <c r="C72" s="5">
        <v>0</v>
      </c>
      <c r="E72" s="1">
        <f t="shared" si="7"/>
        <v>0.22865923457662896</v>
      </c>
      <c r="F72" s="1">
        <f t="shared" si="8"/>
        <v>3.237921855364833E-2</v>
      </c>
      <c r="G72" s="1">
        <f t="shared" si="9"/>
        <v>6.4543985632903964E-2</v>
      </c>
      <c r="H72" s="1">
        <f t="shared" si="31"/>
        <v>0.46211715726000974</v>
      </c>
      <c r="I72" s="1">
        <f t="shared" si="36"/>
        <v>0</v>
      </c>
      <c r="J72" s="1">
        <v>1</v>
      </c>
      <c r="K72" s="1">
        <f t="shared" si="32"/>
        <v>0.53788284273999021</v>
      </c>
      <c r="L72" s="1">
        <f t="shared" si="33"/>
        <v>2.459837582256549E-2</v>
      </c>
      <c r="M72" s="1">
        <f t="shared" si="34"/>
        <v>3.4832452242671598E-3</v>
      </c>
      <c r="N72" s="1">
        <f t="shared" si="35"/>
        <v>6.9434204947990946E-3</v>
      </c>
    </row>
    <row r="73" spans="1:14" x14ac:dyDescent="0.25">
      <c r="A73" s="1">
        <v>1</v>
      </c>
      <c r="B73" s="1">
        <v>1</v>
      </c>
      <c r="C73" s="1">
        <v>1</v>
      </c>
      <c r="E73" s="1">
        <f t="shared" si="7"/>
        <v>0.25325761039919442</v>
      </c>
      <c r="F73" s="1">
        <f t="shared" si="8"/>
        <v>3.5862463777915493E-2</v>
      </c>
      <c r="G73" s="1">
        <f t="shared" si="9"/>
        <v>7.148740612770306E-2</v>
      </c>
      <c r="H73" s="1">
        <f t="shared" si="31"/>
        <v>0.59171682288680993</v>
      </c>
      <c r="I73" s="1">
        <f t="shared" si="36"/>
        <v>1</v>
      </c>
      <c r="J73" s="1">
        <v>0</v>
      </c>
      <c r="K73" s="1">
        <f t="shared" si="32"/>
        <v>-0.59171682288680993</v>
      </c>
      <c r="L73" s="1">
        <f t="shared" si="33"/>
        <v>-2.9971357719463371E-2</v>
      </c>
      <c r="M73" s="1">
        <f t="shared" si="34"/>
        <v>-4.2440846255122917E-3</v>
      </c>
      <c r="N73" s="1">
        <f t="shared" si="35"/>
        <v>-8.4600601660607053E-3</v>
      </c>
    </row>
    <row r="74" spans="1:14" x14ac:dyDescent="0.25">
      <c r="A74" s="10">
        <v>1</v>
      </c>
      <c r="B74" s="10">
        <v>0</v>
      </c>
      <c r="C74" s="10">
        <v>0</v>
      </c>
      <c r="E74" s="1">
        <f t="shared" ref="E74:E81" si="37">E73+L73</f>
        <v>0.22328625267973104</v>
      </c>
      <c r="F74" s="1">
        <f t="shared" ref="F74:F81" si="38">F73+M73</f>
        <v>3.1618379152403203E-2</v>
      </c>
      <c r="G74" s="1">
        <f t="shared" ref="G74:G81" si="39">G73+N73</f>
        <v>6.3027345961642361E-2</v>
      </c>
      <c r="H74" s="1">
        <f t="shared" si="31"/>
        <v>0.54528270348210439</v>
      </c>
      <c r="I74" s="1">
        <f>ROUND(H74,0)</f>
        <v>1</v>
      </c>
      <c r="J74" s="1">
        <v>1</v>
      </c>
      <c r="K74" s="1">
        <f t="shared" si="32"/>
        <v>0.45471729651789561</v>
      </c>
      <c r="L74" s="1">
        <f>$O$2*E74*$K74</f>
        <v>2.0306424233627808E-2</v>
      </c>
      <c r="M74" s="1">
        <f>$O$2*F74*$K74</f>
        <v>2.8754847776917155E-3</v>
      </c>
      <c r="N74" s="1">
        <f>$O$2*G74*$K74</f>
        <v>5.7319248724752242E-3</v>
      </c>
    </row>
    <row r="75" spans="1:14" x14ac:dyDescent="0.25">
      <c r="A75" s="9">
        <v>0</v>
      </c>
      <c r="B75" s="9">
        <v>1</v>
      </c>
      <c r="C75" s="9">
        <v>0</v>
      </c>
      <c r="E75" s="1">
        <f t="shared" si="37"/>
        <v>0.24359267691335884</v>
      </c>
      <c r="F75" s="1">
        <f t="shared" si="38"/>
        <v>3.4493863930094917E-2</v>
      </c>
      <c r="G75" s="1">
        <f t="shared" si="39"/>
        <v>6.8759270834117592E-2</v>
      </c>
      <c r="H75" s="1">
        <f t="shared" si="31"/>
        <v>0.47557239408866564</v>
      </c>
      <c r="I75" s="1">
        <f t="shared" ref="I75:I101" si="40">ROUND(H75,0)</f>
        <v>0</v>
      </c>
      <c r="J75" s="1">
        <v>0</v>
      </c>
      <c r="K75" s="1">
        <f t="shared" si="32"/>
        <v>-0.47557239408866564</v>
      </c>
      <c r="L75" s="1">
        <f t="shared" ref="L75:L81" si="41">$O$2*E75*$K75</f>
        <v>-2.3169190508430578E-2</v>
      </c>
      <c r="M75" s="1">
        <f t="shared" ref="M75:M81" si="42">$O$2*F75*$K75</f>
        <v>-3.2808658901207818E-3</v>
      </c>
      <c r="N75" s="1">
        <f t="shared" ref="N75:N81" si="43">$O$2*G75*$K75</f>
        <v>-6.5400022092744533E-3</v>
      </c>
    </row>
    <row r="76" spans="1:14" x14ac:dyDescent="0.25">
      <c r="A76" s="8">
        <v>0</v>
      </c>
      <c r="B76" s="8">
        <v>0</v>
      </c>
      <c r="C76" s="8">
        <v>1</v>
      </c>
      <c r="E76" s="1">
        <f t="shared" si="37"/>
        <v>0.22042348640492826</v>
      </c>
      <c r="F76" s="1">
        <f t="shared" si="38"/>
        <v>3.1212998039974134E-2</v>
      </c>
      <c r="G76" s="1">
        <f t="shared" si="39"/>
        <v>6.2219268624843137E-2</v>
      </c>
      <c r="H76" s="1">
        <f t="shared" si="31"/>
        <v>0.48622884389636467</v>
      </c>
      <c r="I76" s="1">
        <f t="shared" si="40"/>
        <v>0</v>
      </c>
      <c r="J76" s="1">
        <v>1</v>
      </c>
      <c r="K76" s="1">
        <f t="shared" si="32"/>
        <v>0.51377115610363533</v>
      </c>
      <c r="L76" s="1">
        <f t="shared" si="41"/>
        <v>2.2649445888530791E-2</v>
      </c>
      <c r="M76" s="1">
        <f t="shared" si="42"/>
        <v>3.2072676176916029E-3</v>
      </c>
      <c r="N76" s="1">
        <f t="shared" si="43"/>
        <v>6.3932931146616608E-3</v>
      </c>
    </row>
    <row r="77" spans="1:14" x14ac:dyDescent="0.25">
      <c r="A77" s="7">
        <v>1</v>
      </c>
      <c r="B77" s="7">
        <v>1</v>
      </c>
      <c r="C77" s="7">
        <v>0</v>
      </c>
      <c r="E77" s="1">
        <f t="shared" si="37"/>
        <v>0.24307293229345905</v>
      </c>
      <c r="F77" s="1">
        <f t="shared" si="38"/>
        <v>3.442026565766574E-2</v>
      </c>
      <c r="G77" s="1">
        <f t="shared" si="39"/>
        <v>6.8612561739504793E-2</v>
      </c>
      <c r="H77" s="1">
        <f t="shared" si="31"/>
        <v>0.564045522263389</v>
      </c>
      <c r="I77" s="1">
        <f t="shared" si="40"/>
        <v>1</v>
      </c>
      <c r="J77" s="1">
        <v>0</v>
      </c>
      <c r="K77" s="1">
        <f t="shared" si="32"/>
        <v>-0.564045522263389</v>
      </c>
      <c r="L77" s="1">
        <f t="shared" si="41"/>
        <v>-2.7420839808711503E-2</v>
      </c>
      <c r="M77" s="1">
        <f t="shared" si="42"/>
        <v>-3.8829193438645331E-3</v>
      </c>
      <c r="N77" s="1">
        <f t="shared" si="43"/>
        <v>-7.740121644037601E-3</v>
      </c>
    </row>
    <row r="78" spans="1:14" x14ac:dyDescent="0.25">
      <c r="A78" s="6">
        <v>1</v>
      </c>
      <c r="B78" s="6">
        <v>0</v>
      </c>
      <c r="C78" s="6">
        <v>1</v>
      </c>
      <c r="E78" s="1">
        <f t="shared" si="37"/>
        <v>0.21565209248474754</v>
      </c>
      <c r="F78" s="1">
        <f t="shared" si="38"/>
        <v>3.0537346313801207E-2</v>
      </c>
      <c r="G78" s="1">
        <f t="shared" si="39"/>
        <v>6.087244009546719E-2</v>
      </c>
      <c r="H78" s="1">
        <f t="shared" si="31"/>
        <v>0.56371518852228508</v>
      </c>
      <c r="I78" s="1">
        <f t="shared" si="40"/>
        <v>1</v>
      </c>
      <c r="J78" s="1">
        <v>1</v>
      </c>
      <c r="K78" s="1">
        <f t="shared" si="32"/>
        <v>0.43628481147771492</v>
      </c>
      <c r="L78" s="1">
        <f t="shared" si="41"/>
        <v>1.8817146502896568E-2</v>
      </c>
      <c r="M78" s="1">
        <f t="shared" si="42"/>
        <v>2.6645960759092906E-3</v>
      </c>
      <c r="N78" s="1">
        <f t="shared" si="43"/>
        <v>5.3115442102478804E-3</v>
      </c>
    </row>
    <row r="79" spans="1:14" x14ac:dyDescent="0.25">
      <c r="A79" s="4">
        <v>0</v>
      </c>
      <c r="B79" s="4">
        <v>1</v>
      </c>
      <c r="C79" s="4">
        <v>1</v>
      </c>
      <c r="E79" s="1">
        <f t="shared" si="37"/>
        <v>0.2344692389876441</v>
      </c>
      <c r="F79" s="1">
        <f t="shared" si="38"/>
        <v>3.3201942389710498E-2</v>
      </c>
      <c r="G79" s="1">
        <f t="shared" si="39"/>
        <v>6.6183984305715066E-2</v>
      </c>
      <c r="H79" s="1">
        <f t="shared" si="31"/>
        <v>0.50029005814577354</v>
      </c>
      <c r="I79" s="1">
        <f t="shared" si="40"/>
        <v>1</v>
      </c>
      <c r="J79" s="1">
        <v>0</v>
      </c>
      <c r="K79" s="1">
        <f t="shared" si="32"/>
        <v>-0.50029005814577354</v>
      </c>
      <c r="L79" s="1">
        <f t="shared" si="41"/>
        <v>-2.3460525841304751E-2</v>
      </c>
      <c r="M79" s="1">
        <f t="shared" si="42"/>
        <v>-3.3221203377401779E-3</v>
      </c>
      <c r="N79" s="1">
        <f t="shared" si="43"/>
        <v>-6.6222378713250308E-3</v>
      </c>
    </row>
    <row r="80" spans="1:14" x14ac:dyDescent="0.25">
      <c r="A80" s="5">
        <v>0</v>
      </c>
      <c r="B80" s="5">
        <v>0</v>
      </c>
      <c r="C80" s="5">
        <v>0</v>
      </c>
      <c r="E80" s="1">
        <f t="shared" si="37"/>
        <v>0.21100871314633934</v>
      </c>
      <c r="F80" s="1">
        <f t="shared" si="38"/>
        <v>2.9879822051970321E-2</v>
      </c>
      <c r="G80" s="1">
        <f t="shared" si="39"/>
        <v>5.9561746434390037E-2</v>
      </c>
      <c r="H80" s="1">
        <f t="shared" si="31"/>
        <v>0.46211715726000974</v>
      </c>
      <c r="I80" s="1">
        <f t="shared" si="40"/>
        <v>0</v>
      </c>
      <c r="J80" s="1">
        <v>1</v>
      </c>
      <c r="K80" s="1">
        <f t="shared" si="32"/>
        <v>0.53788284273999021</v>
      </c>
      <c r="L80" s="1">
        <f t="shared" si="41"/>
        <v>2.2699593294012034E-2</v>
      </c>
      <c r="M80" s="1">
        <f t="shared" si="42"/>
        <v>3.2143687251757688E-3</v>
      </c>
      <c r="N80" s="1">
        <f t="shared" si="43"/>
        <v>6.4074482981376383E-3</v>
      </c>
    </row>
    <row r="81" spans="1:14" x14ac:dyDescent="0.25">
      <c r="A81" s="1">
        <v>1</v>
      </c>
      <c r="B81" s="1">
        <v>1</v>
      </c>
      <c r="C81" s="1">
        <v>1</v>
      </c>
      <c r="E81" s="1">
        <f t="shared" si="37"/>
        <v>0.23370830644035137</v>
      </c>
      <c r="F81" s="1">
        <f t="shared" si="38"/>
        <v>3.3094190777146093E-2</v>
      </c>
      <c r="G81" s="1">
        <f t="shared" si="39"/>
        <v>6.5969194732527672E-2</v>
      </c>
      <c r="H81" s="1">
        <f t="shared" si="31"/>
        <v>0.58259747111246774</v>
      </c>
      <c r="I81" s="1">
        <f t="shared" si="40"/>
        <v>1</v>
      </c>
      <c r="J81" s="1">
        <v>0</v>
      </c>
      <c r="K81" s="1">
        <f t="shared" si="32"/>
        <v>-0.58259747111246774</v>
      </c>
      <c r="L81" s="1">
        <f t="shared" si="41"/>
        <v>-2.7231573662025277E-2</v>
      </c>
      <c r="M81" s="1">
        <f t="shared" si="42"/>
        <v>-3.8561183710557737E-3</v>
      </c>
      <c r="N81" s="1">
        <f t="shared" si="43"/>
        <v>-7.68669720449931E-3</v>
      </c>
    </row>
    <row r="82" spans="1:14" x14ac:dyDescent="0.25">
      <c r="A82" s="10">
        <v>1</v>
      </c>
      <c r="B82" s="10">
        <v>0</v>
      </c>
      <c r="C82" s="10">
        <v>0</v>
      </c>
      <c r="E82" s="1">
        <f t="shared" ref="E82:E101" si="44">E81+L81</f>
        <v>0.20647673277832609</v>
      </c>
      <c r="F82" s="1">
        <f t="shared" ref="F82:F101" si="45">F81+M81</f>
        <v>2.9238072406090318E-2</v>
      </c>
      <c r="G82" s="1">
        <f t="shared" ref="G82:G101" si="46">G81+N81</f>
        <v>5.828249752802836E-2</v>
      </c>
      <c r="H82" s="1">
        <f t="shared" si="31"/>
        <v>0.53934990779822023</v>
      </c>
      <c r="I82" s="1">
        <f>ROUND(H82,0)</f>
        <v>1</v>
      </c>
      <c r="J82" s="1">
        <v>1</v>
      </c>
      <c r="K82" s="1">
        <f t="shared" ref="K82:K101" si="47">J82-H82</f>
        <v>0.46065009220177977</v>
      </c>
      <c r="L82" s="1">
        <f>$O$2*E82*$K82</f>
        <v>1.9022705198371632E-2</v>
      </c>
      <c r="M82" s="1">
        <f>$O$2*F82*$K82</f>
        <v>2.6937041499335637E-3</v>
      </c>
      <c r="N82" s="1">
        <f>$O$2*G82*$K82</f>
        <v>5.3695675720072536E-3</v>
      </c>
    </row>
    <row r="83" spans="1:14" x14ac:dyDescent="0.25">
      <c r="A83" s="9">
        <v>0</v>
      </c>
      <c r="B83" s="9">
        <v>1</v>
      </c>
      <c r="C83" s="9">
        <v>0</v>
      </c>
      <c r="E83" s="1">
        <f t="shared" si="44"/>
        <v>0.22549943797669772</v>
      </c>
      <c r="F83" s="1">
        <f t="shared" si="45"/>
        <v>3.1931776556023882E-2</v>
      </c>
      <c r="G83" s="1">
        <f t="shared" si="46"/>
        <v>6.3652065100035612E-2</v>
      </c>
      <c r="H83" s="1">
        <f t="shared" si="31"/>
        <v>0.47458047914121126</v>
      </c>
      <c r="I83" s="1">
        <f t="shared" si="40"/>
        <v>0</v>
      </c>
      <c r="J83" s="1">
        <v>0</v>
      </c>
      <c r="K83" s="1">
        <f t="shared" si="47"/>
        <v>-0.47458047914121126</v>
      </c>
      <c r="L83" s="1">
        <f t="shared" ref="L83:L89" si="48">$O$2*E83*$K83</f>
        <v>-2.1403526264211013E-2</v>
      </c>
      <c r="M83" s="1">
        <f t="shared" ref="M83:M89" si="49">$O$2*F83*$K83</f>
        <v>-3.0308395635575826E-3</v>
      </c>
      <c r="N83" s="1">
        <f t="shared" ref="N83:N89" si="50">$O$2*G83*$K83</f>
        <v>-6.0416055107004952E-3</v>
      </c>
    </row>
    <row r="84" spans="1:14" x14ac:dyDescent="0.25">
      <c r="A84" s="8">
        <v>0</v>
      </c>
      <c r="B84" s="8">
        <v>0</v>
      </c>
      <c r="C84" s="8">
        <v>1</v>
      </c>
      <c r="E84" s="1">
        <f t="shared" si="44"/>
        <v>0.2040959117124867</v>
      </c>
      <c r="F84" s="1">
        <f t="shared" si="45"/>
        <v>2.8900936992466299E-2</v>
      </c>
      <c r="G84" s="1">
        <f t="shared" si="46"/>
        <v>5.7610459589335118E-2</v>
      </c>
      <c r="H84" s="1">
        <f t="shared" si="31"/>
        <v>0.48446727254582034</v>
      </c>
      <c r="I84" s="1">
        <f t="shared" si="40"/>
        <v>0</v>
      </c>
      <c r="J84" s="1">
        <v>1</v>
      </c>
      <c r="K84" s="1">
        <f t="shared" si="47"/>
        <v>0.51553272745417966</v>
      </c>
      <c r="L84" s="1">
        <f t="shared" si="48"/>
        <v>2.1043624405477145E-2</v>
      </c>
      <c r="M84" s="1">
        <f t="shared" si="49"/>
        <v>2.9798757747415095E-3</v>
      </c>
      <c r="N84" s="1">
        <f t="shared" si="50"/>
        <v>5.9400154723957465E-3</v>
      </c>
    </row>
    <row r="85" spans="1:14" x14ac:dyDescent="0.25">
      <c r="A85" s="7">
        <v>1</v>
      </c>
      <c r="B85" s="7">
        <v>1</v>
      </c>
      <c r="C85" s="7">
        <v>0</v>
      </c>
      <c r="E85" s="1">
        <f t="shared" si="44"/>
        <v>0.22513953611796383</v>
      </c>
      <c r="F85" s="1">
        <f t="shared" si="45"/>
        <v>3.1880812767207806E-2</v>
      </c>
      <c r="G85" s="1">
        <f t="shared" si="46"/>
        <v>6.3550475061730866E-2</v>
      </c>
      <c r="H85" s="1">
        <f t="shared" si="31"/>
        <v>0.55702550201660617</v>
      </c>
      <c r="I85" s="1">
        <f t="shared" si="40"/>
        <v>1</v>
      </c>
      <c r="J85" s="1">
        <v>0</v>
      </c>
      <c r="K85" s="1">
        <f t="shared" si="47"/>
        <v>-0.55702550201660617</v>
      </c>
      <c r="L85" s="1">
        <f t="shared" si="48"/>
        <v>-2.5081692625978928E-2</v>
      </c>
      <c r="M85" s="1">
        <f t="shared" si="49"/>
        <v>-3.5516851472702712E-3</v>
      </c>
      <c r="N85" s="1">
        <f t="shared" si="50"/>
        <v>-7.0798470549308899E-3</v>
      </c>
    </row>
    <row r="86" spans="1:14" x14ac:dyDescent="0.25">
      <c r="A86" s="6">
        <v>1</v>
      </c>
      <c r="B86" s="6">
        <v>0</v>
      </c>
      <c r="C86" s="6">
        <v>1</v>
      </c>
      <c r="E86" s="1">
        <f t="shared" si="44"/>
        <v>0.20005784349198491</v>
      </c>
      <c r="F86" s="1">
        <f t="shared" si="45"/>
        <v>2.8329127619937534E-2</v>
      </c>
      <c r="G86" s="1">
        <f t="shared" si="46"/>
        <v>5.6470628006799972E-2</v>
      </c>
      <c r="H86" s="1">
        <f t="shared" si="31"/>
        <v>0.55685584930612619</v>
      </c>
      <c r="I86" s="1">
        <f t="shared" si="40"/>
        <v>1</v>
      </c>
      <c r="J86" s="1">
        <v>1</v>
      </c>
      <c r="K86" s="1">
        <f t="shared" si="47"/>
        <v>0.44314415069387381</v>
      </c>
      <c r="L86" s="1">
        <f t="shared" si="48"/>
        <v>1.7730892628780717E-2</v>
      </c>
      <c r="M86" s="1">
        <f t="shared" si="49"/>
        <v>2.5107774398071166E-3</v>
      </c>
      <c r="N86" s="1">
        <f t="shared" si="50"/>
        <v>5.004925697444612E-3</v>
      </c>
    </row>
    <row r="87" spans="1:14" x14ac:dyDescent="0.25">
      <c r="A87" s="4">
        <v>0</v>
      </c>
      <c r="B87" s="4">
        <v>1</v>
      </c>
      <c r="C87" s="4">
        <v>1</v>
      </c>
      <c r="E87" s="1">
        <f t="shared" si="44"/>
        <v>0.21778873612076563</v>
      </c>
      <c r="F87" s="1">
        <f t="shared" si="45"/>
        <v>3.0839905059744651E-2</v>
      </c>
      <c r="G87" s="1">
        <f t="shared" si="46"/>
        <v>6.1475553704244582E-2</v>
      </c>
      <c r="H87" s="1">
        <f t="shared" si="31"/>
        <v>0.49763497355809849</v>
      </c>
      <c r="I87" s="1">
        <f t="shared" si="40"/>
        <v>0</v>
      </c>
      <c r="J87" s="1">
        <v>0</v>
      </c>
      <c r="K87" s="1">
        <f t="shared" si="47"/>
        <v>-0.49763497355809849</v>
      </c>
      <c r="L87" s="1">
        <f t="shared" si="48"/>
        <v>-2.1675858388141778E-2</v>
      </c>
      <c r="M87" s="1">
        <f t="shared" si="49"/>
        <v>-3.0694030677880599E-3</v>
      </c>
      <c r="N87" s="1">
        <f t="shared" si="50"/>
        <v>-6.1184771084162436E-3</v>
      </c>
    </row>
    <row r="88" spans="1:14" x14ac:dyDescent="0.25">
      <c r="A88" s="5">
        <v>0</v>
      </c>
      <c r="B88" s="5">
        <v>0</v>
      </c>
      <c r="C88" s="5">
        <v>0</v>
      </c>
      <c r="E88" s="1">
        <f t="shared" si="44"/>
        <v>0.19611287773262384</v>
      </c>
      <c r="F88" s="1">
        <f t="shared" si="45"/>
        <v>2.7770501991956589E-2</v>
      </c>
      <c r="G88" s="1">
        <f t="shared" si="46"/>
        <v>5.5357076595828336E-2</v>
      </c>
      <c r="H88" s="1">
        <f t="shared" si="31"/>
        <v>0.46211715726000974</v>
      </c>
      <c r="I88" s="1">
        <f t="shared" si="40"/>
        <v>0</v>
      </c>
      <c r="J88" s="1">
        <v>1</v>
      </c>
      <c r="K88" s="1">
        <f t="shared" si="47"/>
        <v>0.53788284273999021</v>
      </c>
      <c r="L88" s="1">
        <f t="shared" si="48"/>
        <v>2.1097150434548771E-2</v>
      </c>
      <c r="M88" s="1">
        <f t="shared" si="49"/>
        <v>2.9874553111500345E-3</v>
      </c>
      <c r="N88" s="1">
        <f t="shared" si="50"/>
        <v>5.9551243450279047E-3</v>
      </c>
    </row>
    <row r="89" spans="1:14" x14ac:dyDescent="0.25">
      <c r="A89" s="1">
        <v>1</v>
      </c>
      <c r="B89" s="1">
        <v>1</v>
      </c>
      <c r="C89" s="1">
        <v>1</v>
      </c>
      <c r="E89" s="1">
        <f t="shared" si="44"/>
        <v>0.21721002816717261</v>
      </c>
      <c r="F89" s="1">
        <f t="shared" si="45"/>
        <v>3.0757957303106626E-2</v>
      </c>
      <c r="G89" s="1">
        <f t="shared" si="46"/>
        <v>6.1312200940856237E-2</v>
      </c>
      <c r="H89" s="1">
        <f t="shared" si="31"/>
        <v>0.5747853601789531</v>
      </c>
      <c r="I89" s="1">
        <f t="shared" si="40"/>
        <v>1</v>
      </c>
      <c r="J89" s="1">
        <v>0</v>
      </c>
      <c r="K89" s="1">
        <f t="shared" si="47"/>
        <v>-0.5747853601789531</v>
      </c>
      <c r="L89" s="1">
        <f t="shared" si="48"/>
        <v>-2.4969828854909774E-2</v>
      </c>
      <c r="M89" s="1">
        <f t="shared" si="49"/>
        <v>-3.5358447133670007E-3</v>
      </c>
      <c r="N89" s="1">
        <f t="shared" si="50"/>
        <v>-7.0482711002308809E-3</v>
      </c>
    </row>
    <row r="90" spans="1:14" x14ac:dyDescent="0.25">
      <c r="A90" s="10">
        <v>1</v>
      </c>
      <c r="B90" s="10">
        <v>0</v>
      </c>
      <c r="C90" s="10">
        <v>0</v>
      </c>
      <c r="E90" s="1">
        <f t="shared" si="44"/>
        <v>0.19224019931226283</v>
      </c>
      <c r="F90" s="1">
        <f t="shared" si="45"/>
        <v>2.7222112589739625E-2</v>
      </c>
      <c r="G90" s="1">
        <f t="shared" si="46"/>
        <v>5.4263929840625356E-2</v>
      </c>
      <c r="H90" s="1">
        <f t="shared" si="31"/>
        <v>0.53428296531011665</v>
      </c>
      <c r="I90" s="1">
        <f>ROUND(H90,0)</f>
        <v>1</v>
      </c>
      <c r="J90" s="1">
        <v>1</v>
      </c>
      <c r="K90" s="1">
        <f t="shared" si="47"/>
        <v>0.46571703468988335</v>
      </c>
      <c r="L90" s="1">
        <f>$O$2*E90*$K90</f>
        <v>1.7905907114379841E-2</v>
      </c>
      <c r="M90" s="1">
        <f>$O$2*F90*$K90</f>
        <v>2.5355603106575358E-3</v>
      </c>
      <c r="N90" s="1">
        <f>$O$2*G90*$K90</f>
        <v>5.0543272991991836E-3</v>
      </c>
    </row>
    <row r="91" spans="1:14" x14ac:dyDescent="0.25">
      <c r="A91" s="9">
        <v>0</v>
      </c>
      <c r="B91" s="9">
        <v>1</v>
      </c>
      <c r="C91" s="9">
        <v>0</v>
      </c>
      <c r="E91" s="1">
        <f t="shared" si="44"/>
        <v>0.21014610642664266</v>
      </c>
      <c r="F91" s="1">
        <f t="shared" si="45"/>
        <v>2.9757672900397162E-2</v>
      </c>
      <c r="G91" s="1">
        <f t="shared" si="46"/>
        <v>5.931825713982454E-2</v>
      </c>
      <c r="H91" s="1">
        <f t="shared" si="31"/>
        <v>0.47373782594704167</v>
      </c>
      <c r="I91" s="1">
        <f t="shared" si="40"/>
        <v>0</v>
      </c>
      <c r="J91" s="1">
        <v>0</v>
      </c>
      <c r="K91" s="1">
        <f t="shared" si="47"/>
        <v>-0.47373782594704167</v>
      </c>
      <c r="L91" s="1">
        <f t="shared" ref="L91:L97" si="51">$O$2*E91*$K91</f>
        <v>-1.9910831917958668E-2</v>
      </c>
      <c r="M91" s="1">
        <f t="shared" ref="M91:M97" si="52">$O$2*F91*$K91</f>
        <v>-2.81946705301547E-3</v>
      </c>
      <c r="N91" s="1">
        <f t="shared" ref="N91:N97" si="53">$O$2*G91*$K91</f>
        <v>-5.6202604352776128E-3</v>
      </c>
    </row>
    <row r="92" spans="1:14" x14ac:dyDescent="0.25">
      <c r="A92" s="8">
        <v>0</v>
      </c>
      <c r="B92" s="8">
        <v>0</v>
      </c>
      <c r="C92" s="8">
        <v>1</v>
      </c>
      <c r="E92" s="1">
        <f t="shared" si="44"/>
        <v>0.19023527450868399</v>
      </c>
      <c r="F92" s="1">
        <f t="shared" si="45"/>
        <v>2.6938205847381692E-2</v>
      </c>
      <c r="G92" s="1">
        <f t="shared" si="46"/>
        <v>5.3697996704546926E-2</v>
      </c>
      <c r="H92" s="1">
        <f t="shared" si="31"/>
        <v>0.48296876705833003</v>
      </c>
      <c r="I92" s="1">
        <f t="shared" si="40"/>
        <v>0</v>
      </c>
      <c r="J92" s="1">
        <v>1</v>
      </c>
      <c r="K92" s="1">
        <f t="shared" si="47"/>
        <v>0.51703123294166997</v>
      </c>
      <c r="L92" s="1">
        <f t="shared" si="51"/>
        <v>1.9671515705644387E-2</v>
      </c>
      <c r="M92" s="1">
        <f t="shared" si="52"/>
        <v>2.785578756501652E-3</v>
      </c>
      <c r="N92" s="1">
        <f t="shared" si="53"/>
        <v>5.5527082885299265E-3</v>
      </c>
    </row>
    <row r="93" spans="1:14" x14ac:dyDescent="0.25">
      <c r="A93" s="7">
        <v>1</v>
      </c>
      <c r="B93" s="7">
        <v>1</v>
      </c>
      <c r="C93" s="7">
        <v>0</v>
      </c>
      <c r="E93" s="1">
        <f t="shared" si="44"/>
        <v>0.20990679021432837</v>
      </c>
      <c r="F93" s="1">
        <f t="shared" si="45"/>
        <v>2.9723784603883346E-2</v>
      </c>
      <c r="G93" s="1">
        <f t="shared" si="46"/>
        <v>5.9250704993076851E-2</v>
      </c>
      <c r="H93" s="1">
        <f t="shared" si="31"/>
        <v>0.55099940784605628</v>
      </c>
      <c r="I93" s="1">
        <f t="shared" si="40"/>
        <v>1</v>
      </c>
      <c r="J93" s="1">
        <v>0</v>
      </c>
      <c r="K93" s="1">
        <f t="shared" si="47"/>
        <v>-0.55099940784605628</v>
      </c>
      <c r="L93" s="1">
        <f t="shared" si="51"/>
        <v>-2.313170342219226E-2</v>
      </c>
      <c r="M93" s="1">
        <f t="shared" si="52"/>
        <v>-3.2755575431366894E-3</v>
      </c>
      <c r="N93" s="1">
        <f t="shared" si="53"/>
        <v>-6.5294206731293433E-3</v>
      </c>
    </row>
    <row r="94" spans="1:14" x14ac:dyDescent="0.25">
      <c r="A94" s="6">
        <v>1</v>
      </c>
      <c r="B94" s="6">
        <v>0</v>
      </c>
      <c r="C94" s="6">
        <v>1</v>
      </c>
      <c r="E94" s="1">
        <f t="shared" si="44"/>
        <v>0.18677508679213611</v>
      </c>
      <c r="F94" s="1">
        <f t="shared" si="45"/>
        <v>2.6448227060746655E-2</v>
      </c>
      <c r="G94" s="1">
        <f t="shared" si="46"/>
        <v>5.2721284319947506E-2</v>
      </c>
      <c r="H94" s="1">
        <f t="shared" si="31"/>
        <v>0.55095267641116186</v>
      </c>
      <c r="I94" s="1">
        <f t="shared" si="40"/>
        <v>1</v>
      </c>
      <c r="J94" s="1">
        <v>1</v>
      </c>
      <c r="K94" s="1">
        <f t="shared" si="47"/>
        <v>0.44904732358883814</v>
      </c>
      <c r="L94" s="1">
        <f t="shared" si="51"/>
        <v>1.6774170567416334E-2</v>
      </c>
      <c r="M94" s="1">
        <f t="shared" si="52"/>
        <v>2.3753011150596339E-3</v>
      </c>
      <c r="N94" s="1">
        <f t="shared" si="53"/>
        <v>4.7348703240077212E-3</v>
      </c>
    </row>
    <row r="95" spans="1:14" x14ac:dyDescent="0.25">
      <c r="A95" s="4">
        <v>0</v>
      </c>
      <c r="B95" s="4">
        <v>1</v>
      </c>
      <c r="C95" s="4">
        <v>1</v>
      </c>
      <c r="E95" s="1">
        <f t="shared" si="44"/>
        <v>0.20354925735955245</v>
      </c>
      <c r="F95" s="1">
        <f t="shared" si="45"/>
        <v>2.8823528175806291E-2</v>
      </c>
      <c r="G95" s="1">
        <f t="shared" si="46"/>
        <v>5.7456154643955225E-2</v>
      </c>
      <c r="H95" s="1">
        <f t="shared" si="31"/>
        <v>0.49536102895266976</v>
      </c>
      <c r="I95" s="1">
        <f t="shared" si="40"/>
        <v>0</v>
      </c>
      <c r="J95" s="1">
        <v>0</v>
      </c>
      <c r="K95" s="1">
        <f t="shared" si="47"/>
        <v>-0.49536102895266976</v>
      </c>
      <c r="L95" s="1">
        <f t="shared" si="51"/>
        <v>-2.0166073913635941E-2</v>
      </c>
      <c r="M95" s="1">
        <f t="shared" si="52"/>
        <v>-2.8556105150427348E-3</v>
      </c>
      <c r="N95" s="1">
        <f t="shared" si="53"/>
        <v>-5.6923079768186752E-3</v>
      </c>
    </row>
    <row r="96" spans="1:14" x14ac:dyDescent="0.25">
      <c r="A96" s="5">
        <v>0</v>
      </c>
      <c r="B96" s="5">
        <v>0</v>
      </c>
      <c r="C96" s="5">
        <v>0</v>
      </c>
      <c r="E96" s="1">
        <f t="shared" si="44"/>
        <v>0.1833831834459165</v>
      </c>
      <c r="F96" s="1">
        <f t="shared" si="45"/>
        <v>2.5967917660763555E-2</v>
      </c>
      <c r="G96" s="1">
        <f t="shared" si="46"/>
        <v>5.176384666713655E-2</v>
      </c>
      <c r="H96" s="1">
        <f t="shared" si="31"/>
        <v>0.46211715726000974</v>
      </c>
      <c r="I96" s="1">
        <f t="shared" si="40"/>
        <v>0</v>
      </c>
      <c r="J96" s="1">
        <v>1</v>
      </c>
      <c r="K96" s="1">
        <f t="shared" si="47"/>
        <v>0.53788284273999021</v>
      </c>
      <c r="L96" s="1">
        <f t="shared" si="51"/>
        <v>1.9727733604519737E-2</v>
      </c>
      <c r="M96" s="1">
        <f t="shared" si="52"/>
        <v>2.7935394742818996E-3</v>
      </c>
      <c r="N96" s="1">
        <f t="shared" si="53"/>
        <v>5.5685769992952754E-3</v>
      </c>
    </row>
    <row r="97" spans="1:14" x14ac:dyDescent="0.25">
      <c r="A97" s="1">
        <v>1</v>
      </c>
      <c r="B97" s="1">
        <v>1</v>
      </c>
      <c r="C97" s="1">
        <v>1</v>
      </c>
      <c r="E97" s="1">
        <f t="shared" si="44"/>
        <v>0.20311091705043624</v>
      </c>
      <c r="F97" s="1">
        <f t="shared" si="45"/>
        <v>2.8761457135045455E-2</v>
      </c>
      <c r="G97" s="1">
        <f t="shared" si="46"/>
        <v>5.7332423666431827E-2</v>
      </c>
      <c r="H97" s="1">
        <f t="shared" si="31"/>
        <v>0.56802512510280245</v>
      </c>
      <c r="I97" s="1">
        <f t="shared" si="40"/>
        <v>1</v>
      </c>
      <c r="J97" s="1">
        <v>0</v>
      </c>
      <c r="K97" s="1">
        <f t="shared" si="47"/>
        <v>-0.56802512510280245</v>
      </c>
      <c r="L97" s="1">
        <f t="shared" si="51"/>
        <v>-2.3074420813463795E-2</v>
      </c>
      <c r="M97" s="1">
        <f t="shared" si="52"/>
        <v>-3.2674460574546168E-3</v>
      </c>
      <c r="N97" s="1">
        <f t="shared" si="53"/>
        <v>-6.5132514251143624E-3</v>
      </c>
    </row>
    <row r="98" spans="1:14" x14ac:dyDescent="0.25">
      <c r="A98" s="10">
        <v>1</v>
      </c>
      <c r="B98" s="10">
        <v>0</v>
      </c>
      <c r="C98" s="10">
        <v>0</v>
      </c>
      <c r="E98" s="1">
        <f t="shared" si="44"/>
        <v>0.18003649623697243</v>
      </c>
      <c r="F98" s="1">
        <f t="shared" si="45"/>
        <v>2.5494011077590837E-2</v>
      </c>
      <c r="G98" s="1">
        <f t="shared" si="46"/>
        <v>5.0819172241317462E-2</v>
      </c>
      <c r="H98" s="1">
        <f t="shared" si="31"/>
        <v>0.52990873164169183</v>
      </c>
      <c r="I98" s="1">
        <f>ROUND(H98,0)</f>
        <v>1</v>
      </c>
      <c r="J98" s="1">
        <v>1</v>
      </c>
      <c r="K98" s="1">
        <f t="shared" si="47"/>
        <v>0.47009126835830817</v>
      </c>
      <c r="L98" s="1">
        <f>$O$2*E98*$K98</f>
        <v>1.6926716973364828E-2</v>
      </c>
      <c r="M98" s="1">
        <f>$O$2*F98*$K98</f>
        <v>2.3969024006010873E-3</v>
      </c>
      <c r="N98" s="1">
        <f>$O$2*G98*$K98</f>
        <v>4.7779298271680504E-3</v>
      </c>
    </row>
    <row r="99" spans="1:14" x14ac:dyDescent="0.25">
      <c r="A99" s="9">
        <v>0</v>
      </c>
      <c r="B99" s="9">
        <v>1</v>
      </c>
      <c r="C99" s="9">
        <v>0</v>
      </c>
      <c r="E99" s="1">
        <f t="shared" si="44"/>
        <v>0.19696321321033727</v>
      </c>
      <c r="F99" s="1">
        <f t="shared" si="45"/>
        <v>2.7890913478191923E-2</v>
      </c>
      <c r="G99" s="1">
        <f t="shared" si="46"/>
        <v>5.5597102068485511E-2</v>
      </c>
      <c r="H99" s="1">
        <f t="shared" si="31"/>
        <v>0.47301360231201839</v>
      </c>
      <c r="I99" s="1">
        <f t="shared" si="40"/>
        <v>0</v>
      </c>
      <c r="J99" s="1">
        <v>0</v>
      </c>
      <c r="K99" s="1">
        <f t="shared" si="47"/>
        <v>-0.47301360231201839</v>
      </c>
      <c r="L99" s="1">
        <f t="shared" ref="L99:L101" si="54">$O$2*E99*$K99</f>
        <v>-1.8633255800714354E-2</v>
      </c>
      <c r="M99" s="1">
        <f t="shared" ref="M99:M101" si="55">$O$2*F99*$K99</f>
        <v>-2.6385562912184775E-3</v>
      </c>
      <c r="N99" s="1">
        <f t="shared" ref="N99:N101" si="56">$O$2*G99*$K99</f>
        <v>-5.2596371055046599E-3</v>
      </c>
    </row>
    <row r="100" spans="1:14" x14ac:dyDescent="0.25">
      <c r="A100" s="8">
        <v>0</v>
      </c>
      <c r="B100" s="8">
        <v>0</v>
      </c>
      <c r="C100" s="8">
        <v>1</v>
      </c>
      <c r="E100" s="1">
        <f t="shared" si="44"/>
        <v>0.17832995740962293</v>
      </c>
      <c r="F100" s="1">
        <f t="shared" si="45"/>
        <v>2.5252357186973447E-2</v>
      </c>
      <c r="G100" s="1">
        <f t="shared" si="46"/>
        <v>5.0337464962980853E-2</v>
      </c>
      <c r="H100" s="1">
        <f t="shared" si="31"/>
        <v>0.48167939290433076</v>
      </c>
      <c r="I100" s="1">
        <f t="shared" si="40"/>
        <v>0</v>
      </c>
      <c r="J100" s="1">
        <v>1</v>
      </c>
      <c r="K100" s="1">
        <f t="shared" si="47"/>
        <v>0.51832060709566918</v>
      </c>
      <c r="L100" s="1">
        <f t="shared" si="54"/>
        <v>1.8486418357580116E-2</v>
      </c>
      <c r="M100" s="1">
        <f t="shared" si="55"/>
        <v>2.6177634215497525E-3</v>
      </c>
      <c r="N100" s="1">
        <f t="shared" si="56"/>
        <v>5.218189079853843E-3</v>
      </c>
    </row>
    <row r="101" spans="1:14" x14ac:dyDescent="0.25">
      <c r="A101" s="7">
        <v>1</v>
      </c>
      <c r="B101" s="7">
        <v>1</v>
      </c>
      <c r="C101" s="7">
        <v>0</v>
      </c>
      <c r="E101" s="1">
        <f t="shared" si="44"/>
        <v>0.19681637576720304</v>
      </c>
      <c r="F101" s="1">
        <f t="shared" si="45"/>
        <v>2.7870120608523199E-2</v>
      </c>
      <c r="G101" s="1">
        <f t="shared" si="46"/>
        <v>5.5555654042834697E-2</v>
      </c>
      <c r="H101" s="1">
        <f t="shared" si="31"/>
        <v>0.54577446802342988</v>
      </c>
      <c r="I101" s="1">
        <f t="shared" si="40"/>
        <v>1</v>
      </c>
      <c r="J101" s="1">
        <v>0</v>
      </c>
      <c r="K101" s="1">
        <f t="shared" si="47"/>
        <v>-0.54577446802342988</v>
      </c>
      <c r="L101" s="1">
        <f t="shared" si="54"/>
        <v>-2.1483470556528945E-2</v>
      </c>
      <c r="M101" s="1">
        <f t="shared" si="55"/>
        <v>-3.0421600497731157E-3</v>
      </c>
      <c r="N101" s="1">
        <f t="shared" si="56"/>
        <v>-6.0641715061843637E-3</v>
      </c>
    </row>
    <row r="102" spans="1:14" x14ac:dyDescent="0.25">
      <c r="A102" s="7">
        <v>1</v>
      </c>
      <c r="B102" s="7">
        <v>1</v>
      </c>
      <c r="C102" s="7">
        <v>0</v>
      </c>
      <c r="E102" s="1">
        <f t="shared" ref="E102:E120" si="57">E101+L101</f>
        <v>0.1753329052106741</v>
      </c>
      <c r="F102" s="1">
        <f t="shared" ref="F102:F120" si="58">F101+M101</f>
        <v>2.4827960558750084E-2</v>
      </c>
      <c r="G102" s="1">
        <f t="shared" ref="G102:G120" si="59">G101+N101</f>
        <v>4.9491482536650332E-2</v>
      </c>
      <c r="H102" s="1">
        <f t="shared" ref="H102:H120" si="60">sigmoid((E102*A102)+(F102*B102)+(G102*C102)+$P$2)</f>
        <v>0.53710679877784429</v>
      </c>
      <c r="I102" s="1">
        <f t="shared" ref="I102:I120" si="61">ROUND(H102,0)</f>
        <v>1</v>
      </c>
      <c r="J102" s="1">
        <v>0</v>
      </c>
      <c r="K102" s="1">
        <f t="shared" ref="K102:K120" si="62">J102-H102</f>
        <v>-0.53710679877784429</v>
      </c>
      <c r="L102" s="1">
        <f t="shared" ref="L102:L120" si="63">$O$2*E102*$K102</f>
        <v>-1.8834499087624877E-2</v>
      </c>
      <c r="M102" s="1">
        <f t="shared" ref="M102:M120" si="64">$O$2*F102*$K102</f>
        <v>-2.6670532831785674E-3</v>
      </c>
      <c r="N102" s="1">
        <f t="shared" ref="N102:N120" si="65">$O$2*G102*$K102</f>
        <v>-5.3164423504059692E-3</v>
      </c>
    </row>
    <row r="103" spans="1:14" x14ac:dyDescent="0.25">
      <c r="A103" s="7">
        <v>1</v>
      </c>
      <c r="B103" s="7">
        <v>1</v>
      </c>
      <c r="C103" s="7">
        <v>0</v>
      </c>
      <c r="E103" s="1">
        <f t="shared" si="57"/>
        <v>0.15649840612304922</v>
      </c>
      <c r="F103" s="1">
        <f t="shared" si="58"/>
        <v>2.2160907275571518E-2</v>
      </c>
      <c r="G103" s="1">
        <f t="shared" si="59"/>
        <v>4.4175040186244366E-2</v>
      </c>
      <c r="H103" s="1">
        <f t="shared" si="60"/>
        <v>0.52941331824710136</v>
      </c>
      <c r="I103" s="1">
        <f t="shared" si="61"/>
        <v>1</v>
      </c>
      <c r="J103" s="1">
        <v>0</v>
      </c>
      <c r="K103" s="1">
        <f t="shared" si="62"/>
        <v>-0.52941331824710136</v>
      </c>
      <c r="L103" s="1">
        <f t="shared" si="63"/>
        <v>-1.6570468097197196E-2</v>
      </c>
      <c r="M103" s="1">
        <f t="shared" si="64"/>
        <v>-2.3464558912253295E-3</v>
      </c>
      <c r="N103" s="1">
        <f t="shared" si="65"/>
        <v>-4.6773709217397368E-3</v>
      </c>
    </row>
    <row r="104" spans="1:14" x14ac:dyDescent="0.25">
      <c r="A104" s="7">
        <v>1</v>
      </c>
      <c r="B104" s="7">
        <v>1</v>
      </c>
      <c r="C104" s="7">
        <v>0</v>
      </c>
      <c r="E104" s="1">
        <f t="shared" si="57"/>
        <v>0.13992793802585202</v>
      </c>
      <c r="F104" s="1">
        <f t="shared" si="58"/>
        <v>1.9814451384346187E-2</v>
      </c>
      <c r="G104" s="1">
        <f t="shared" si="59"/>
        <v>3.9497669264504626E-2</v>
      </c>
      <c r="H104" s="1">
        <f t="shared" si="60"/>
        <v>0.52257180500958567</v>
      </c>
      <c r="I104" s="1">
        <f t="shared" si="61"/>
        <v>1</v>
      </c>
      <c r="J104" s="1">
        <v>0</v>
      </c>
      <c r="K104" s="1">
        <f t="shared" si="62"/>
        <v>-0.52257180500958567</v>
      </c>
      <c r="L104" s="1">
        <f t="shared" si="63"/>
        <v>-1.4624479029087787E-2</v>
      </c>
      <c r="M104" s="1">
        <f t="shared" si="64"/>
        <v>-2.0708947250384943E-3</v>
      </c>
      <c r="N104" s="1">
        <f t="shared" si="65"/>
        <v>-4.1280736642447637E-3</v>
      </c>
    </row>
    <row r="105" spans="1:14" x14ac:dyDescent="0.25">
      <c r="A105" s="7">
        <v>1</v>
      </c>
      <c r="B105" s="7">
        <v>1</v>
      </c>
      <c r="C105" s="7">
        <v>0</v>
      </c>
      <c r="E105" s="1">
        <f t="shared" si="57"/>
        <v>0.12530345899676423</v>
      </c>
      <c r="F105" s="1">
        <f t="shared" si="58"/>
        <v>1.7743556659307692E-2</v>
      </c>
      <c r="G105" s="1">
        <f t="shared" si="59"/>
        <v>3.5369595600259859E-2</v>
      </c>
      <c r="H105" s="1">
        <f t="shared" si="60"/>
        <v>0.51647727082995654</v>
      </c>
      <c r="I105" s="1">
        <f t="shared" si="61"/>
        <v>1</v>
      </c>
      <c r="J105" s="1">
        <v>0</v>
      </c>
      <c r="K105" s="1">
        <f t="shared" si="62"/>
        <v>-0.51647727082995654</v>
      </c>
      <c r="L105" s="1">
        <f t="shared" si="63"/>
        <v>-1.2943277705640431E-2</v>
      </c>
      <c r="M105" s="1">
        <f t="shared" si="64"/>
        <v>-1.8328287436431877E-3</v>
      </c>
      <c r="N105" s="1">
        <f t="shared" si="65"/>
        <v>-3.6535184411962906E-3</v>
      </c>
    </row>
    <row r="106" spans="1:14" x14ac:dyDescent="0.25">
      <c r="A106" s="7">
        <v>1</v>
      </c>
      <c r="B106" s="7">
        <v>1</v>
      </c>
      <c r="C106" s="7">
        <v>0</v>
      </c>
      <c r="E106" s="1">
        <f t="shared" si="57"/>
        <v>0.1123601812911238</v>
      </c>
      <c r="F106" s="1">
        <f t="shared" si="58"/>
        <v>1.5910727915664506E-2</v>
      </c>
      <c r="G106" s="1">
        <f t="shared" si="59"/>
        <v>3.171607715906357E-2</v>
      </c>
      <c r="H106" s="1">
        <f t="shared" si="60"/>
        <v>0.51103932074434821</v>
      </c>
      <c r="I106" s="1">
        <f t="shared" si="61"/>
        <v>1</v>
      </c>
      <c r="J106" s="1">
        <v>0</v>
      </c>
      <c r="K106" s="1">
        <f t="shared" si="62"/>
        <v>-0.51103932074434821</v>
      </c>
      <c r="L106" s="1">
        <f t="shared" si="63"/>
        <v>-1.1484094145145547E-2</v>
      </c>
      <c r="M106" s="1">
        <f t="shared" si="64"/>
        <v>-1.6262015173138657E-3</v>
      </c>
      <c r="N106" s="1">
        <f t="shared" si="65"/>
        <v>-3.2416325056086369E-3</v>
      </c>
    </row>
    <row r="107" spans="1:14" x14ac:dyDescent="0.25">
      <c r="A107" s="7">
        <v>1</v>
      </c>
      <c r="B107" s="7">
        <v>1</v>
      </c>
      <c r="C107" s="7">
        <v>0</v>
      </c>
      <c r="E107" s="1">
        <f t="shared" si="57"/>
        <v>0.10087608714597825</v>
      </c>
      <c r="F107" s="1">
        <f t="shared" si="58"/>
        <v>1.4284526398350639E-2</v>
      </c>
      <c r="G107" s="1">
        <f t="shared" si="59"/>
        <v>2.8474444653454934E-2</v>
      </c>
      <c r="H107" s="1">
        <f t="shared" si="60"/>
        <v>0.50617991399383533</v>
      </c>
      <c r="I107" s="1">
        <f t="shared" si="61"/>
        <v>1</v>
      </c>
      <c r="J107" s="1">
        <v>0</v>
      </c>
      <c r="K107" s="1">
        <f t="shared" si="62"/>
        <v>-0.50617991399383533</v>
      </c>
      <c r="L107" s="1">
        <f t="shared" si="63"/>
        <v>-1.0212289823117181E-2</v>
      </c>
      <c r="M107" s="1">
        <f t="shared" si="64"/>
        <v>-1.4461080687519594E-3</v>
      </c>
      <c r="N107" s="1">
        <f t="shared" si="65"/>
        <v>-2.882638389141609E-3</v>
      </c>
    </row>
    <row r="108" spans="1:14" x14ac:dyDescent="0.25">
      <c r="A108" s="7">
        <v>1</v>
      </c>
      <c r="B108" s="7">
        <v>1</v>
      </c>
      <c r="C108" s="7">
        <v>0</v>
      </c>
      <c r="E108" s="1">
        <f t="shared" si="57"/>
        <v>9.0663797322861062E-2</v>
      </c>
      <c r="F108" s="1">
        <f t="shared" si="58"/>
        <v>1.2838418329598681E-2</v>
      </c>
      <c r="G108" s="1">
        <f t="shared" si="59"/>
        <v>2.5591806264313326E-2</v>
      </c>
      <c r="H108" s="1">
        <f t="shared" si="60"/>
        <v>0.50183148001880595</v>
      </c>
      <c r="I108" s="1">
        <f t="shared" si="61"/>
        <v>1</v>
      </c>
      <c r="J108" s="1">
        <v>0</v>
      </c>
      <c r="K108" s="1">
        <f t="shared" si="62"/>
        <v>-0.50183148001880595</v>
      </c>
      <c r="L108" s="1">
        <f t="shared" si="63"/>
        <v>-9.099589518931285E-3</v>
      </c>
      <c r="M108" s="1">
        <f t="shared" si="64"/>
        <v>-1.2885444942886146E-3</v>
      </c>
      <c r="N108" s="1">
        <f t="shared" si="65"/>
        <v>-2.5685548027949813E-3</v>
      </c>
    </row>
    <row r="109" spans="1:14" x14ac:dyDescent="0.25">
      <c r="A109" s="7">
        <v>1</v>
      </c>
      <c r="B109" s="7">
        <v>1</v>
      </c>
      <c r="C109" s="7">
        <v>0</v>
      </c>
      <c r="E109" s="1">
        <f t="shared" si="57"/>
        <v>8.1564207803929784E-2</v>
      </c>
      <c r="F109" s="1">
        <f t="shared" si="58"/>
        <v>1.1549873835310066E-2</v>
      </c>
      <c r="G109" s="1">
        <f t="shared" si="59"/>
        <v>2.3023251461518346E-2</v>
      </c>
      <c r="H109" s="1">
        <f t="shared" si="60"/>
        <v>0.49793533958283864</v>
      </c>
      <c r="I109" s="1">
        <f t="shared" si="61"/>
        <v>0</v>
      </c>
      <c r="J109" s="1">
        <v>0</v>
      </c>
      <c r="K109" s="1">
        <f t="shared" si="62"/>
        <v>-0.49793533958283864</v>
      </c>
      <c r="L109" s="1">
        <f t="shared" si="63"/>
        <v>-8.1227403021309989E-3</v>
      </c>
      <c r="M109" s="1">
        <f t="shared" si="64"/>
        <v>-1.1502180700648124E-3</v>
      </c>
      <c r="N109" s="1">
        <f t="shared" si="65"/>
        <v>-2.2928181069584446E-3</v>
      </c>
    </row>
    <row r="110" spans="1:14" x14ac:dyDescent="0.25">
      <c r="A110" s="7">
        <v>1</v>
      </c>
      <c r="B110" s="7">
        <v>1</v>
      </c>
      <c r="C110" s="7">
        <v>0</v>
      </c>
      <c r="E110" s="1">
        <f t="shared" ref="E110:E112" si="66">E109+L109</f>
        <v>7.3441467501798779E-2</v>
      </c>
      <c r="F110" s="1">
        <f t="shared" ref="F110:F112" si="67">F109+M109</f>
        <v>1.0399655765245253E-2</v>
      </c>
      <c r="G110" s="1">
        <f t="shared" ref="G110:G112" si="68">G109+N109</f>
        <v>2.0730433354559902E-2</v>
      </c>
      <c r="H110" s="1">
        <f t="shared" ref="H110:H112" si="69">sigmoid((E110*A110)+(F110*B110)+(G110*C110)+$P$2)</f>
        <v>0.49444038355720971</v>
      </c>
      <c r="I110" s="1">
        <f t="shared" ref="I110:I112" si="70">ROUND(H110,0)</f>
        <v>0</v>
      </c>
      <c r="J110" s="1">
        <v>0</v>
      </c>
      <c r="K110" s="1">
        <f t="shared" ref="K110:K112" si="71">J110-H110</f>
        <v>-0.49444038355720971</v>
      </c>
      <c r="L110" s="1">
        <f t="shared" ref="L110:L112" si="72">$O$2*E110*$K110</f>
        <v>-7.2624854721187486E-3</v>
      </c>
      <c r="M110" s="1">
        <f t="shared" ref="M110:M112" si="73">$O$2*F110*$K110</f>
        <v>-1.028401957086162E-3</v>
      </c>
      <c r="N110" s="1">
        <f t="shared" ref="N110:N112" si="74">$O$2*G110*$K110</f>
        <v>-2.0499926838271542E-3</v>
      </c>
    </row>
    <row r="111" spans="1:14" x14ac:dyDescent="0.25">
      <c r="A111" s="7">
        <v>1</v>
      </c>
      <c r="B111" s="7">
        <v>1</v>
      </c>
      <c r="C111" s="7">
        <v>0</v>
      </c>
      <c r="E111" s="1">
        <f t="shared" si="66"/>
        <v>6.6178982029680034E-2</v>
      </c>
      <c r="F111" s="1">
        <f t="shared" si="67"/>
        <v>9.3712538081590913E-3</v>
      </c>
      <c r="G111" s="1">
        <f t="shared" si="68"/>
        <v>1.8680440670732747E-2</v>
      </c>
      <c r="H111" s="1">
        <f t="shared" si="69"/>
        <v>0.49130196707157253</v>
      </c>
      <c r="I111" s="1">
        <f t="shared" si="70"/>
        <v>0</v>
      </c>
      <c r="J111" s="1">
        <v>0</v>
      </c>
      <c r="K111" s="1">
        <f t="shared" si="71"/>
        <v>-0.49130196707157253</v>
      </c>
      <c r="L111" s="1">
        <f t="shared" si="72"/>
        <v>-6.5027728099952111E-3</v>
      </c>
      <c r="M111" s="1">
        <f t="shared" si="73"/>
        <v>-9.2082308597510537E-4</v>
      </c>
      <c r="N111" s="1">
        <f t="shared" si="74"/>
        <v>-1.835547449458961E-3</v>
      </c>
    </row>
    <row r="112" spans="1:14" x14ac:dyDescent="0.25">
      <c r="A112" s="7">
        <v>1</v>
      </c>
      <c r="B112" s="7">
        <v>1</v>
      </c>
      <c r="C112" s="7">
        <v>0</v>
      </c>
      <c r="E112" s="1">
        <f t="shared" si="66"/>
        <v>5.967620921968482E-2</v>
      </c>
      <c r="F112" s="1">
        <f t="shared" si="67"/>
        <v>8.4504307221839863E-3</v>
      </c>
      <c r="G112" s="1">
        <f t="shared" si="68"/>
        <v>1.6844893221273787E-2</v>
      </c>
      <c r="H112" s="1">
        <f t="shared" si="69"/>
        <v>0.48848098265843704</v>
      </c>
      <c r="I112" s="1">
        <f t="shared" si="70"/>
        <v>0</v>
      </c>
      <c r="J112" s="1">
        <v>0</v>
      </c>
      <c r="K112" s="1">
        <f t="shared" si="71"/>
        <v>-0.48848098265843704</v>
      </c>
      <c r="L112" s="1">
        <f t="shared" si="72"/>
        <v>-5.8301386641924245E-3</v>
      </c>
      <c r="M112" s="1">
        <f t="shared" si="73"/>
        <v>-8.2557494061189592E-4</v>
      </c>
      <c r="N112" s="1">
        <f t="shared" si="74"/>
        <v>-1.6456819987008529E-3</v>
      </c>
    </row>
    <row r="113" spans="1:14" x14ac:dyDescent="0.25">
      <c r="A113" s="8">
        <v>0</v>
      </c>
      <c r="B113" s="8">
        <v>0</v>
      </c>
      <c r="C113" s="8">
        <v>1</v>
      </c>
      <c r="E113" s="1">
        <f t="shared" si="57"/>
        <v>5.3846070555492398E-2</v>
      </c>
      <c r="F113" s="1">
        <f t="shared" si="58"/>
        <v>7.6248557815720907E-3</v>
      </c>
      <c r="G113" s="1">
        <f t="shared" si="59"/>
        <v>1.5199211222572935E-2</v>
      </c>
      <c r="H113" s="1">
        <f t="shared" si="60"/>
        <v>0.46807281947182428</v>
      </c>
      <c r="I113" s="1">
        <f t="shared" si="61"/>
        <v>0</v>
      </c>
      <c r="J113" s="1">
        <v>1</v>
      </c>
      <c r="K113" s="1">
        <f t="shared" si="62"/>
        <v>0.53192718052817578</v>
      </c>
      <c r="L113" s="1">
        <f t="shared" si="63"/>
        <v>5.7284376986208594E-3</v>
      </c>
      <c r="M113" s="1">
        <f t="shared" si="64"/>
        <v>8.111736075651205E-4</v>
      </c>
      <c r="N113" s="1">
        <f t="shared" si="65"/>
        <v>1.6169747143750858E-3</v>
      </c>
    </row>
    <row r="114" spans="1:14" x14ac:dyDescent="0.25">
      <c r="A114" s="8">
        <v>0</v>
      </c>
      <c r="B114" s="8">
        <v>0</v>
      </c>
      <c r="C114" s="8">
        <v>1</v>
      </c>
      <c r="E114" s="1">
        <f t="shared" si="57"/>
        <v>5.9574508254113256E-2</v>
      </c>
      <c r="F114" s="1">
        <f t="shared" si="58"/>
        <v>8.4360293891372114E-3</v>
      </c>
      <c r="G114" s="1">
        <f t="shared" si="59"/>
        <v>1.681618593694802E-2</v>
      </c>
      <c r="H114" s="1">
        <f t="shared" si="60"/>
        <v>0.46870393461307697</v>
      </c>
      <c r="I114" s="1">
        <f t="shared" si="61"/>
        <v>0</v>
      </c>
      <c r="J114" s="1">
        <v>1</v>
      </c>
      <c r="K114" s="1">
        <f t="shared" si="62"/>
        <v>0.53129606538692298</v>
      </c>
      <c r="L114" s="1">
        <f t="shared" si="63"/>
        <v>6.3303403665542282E-3</v>
      </c>
      <c r="M114" s="1">
        <f t="shared" si="64"/>
        <v>8.9640584438740968E-4</v>
      </c>
      <c r="N114" s="1">
        <f t="shared" si="65"/>
        <v>1.786874684623078E-3</v>
      </c>
    </row>
    <row r="115" spans="1:14" x14ac:dyDescent="0.25">
      <c r="A115" s="8">
        <v>0</v>
      </c>
      <c r="B115" s="8">
        <v>0</v>
      </c>
      <c r="C115" s="8">
        <v>1</v>
      </c>
      <c r="E115" s="1">
        <f t="shared" si="57"/>
        <v>6.5904848620667478E-2</v>
      </c>
      <c r="F115" s="1">
        <f t="shared" si="58"/>
        <v>9.3324352335246216E-3</v>
      </c>
      <c r="G115" s="1">
        <f t="shared" si="59"/>
        <v>1.8603060621571098E-2</v>
      </c>
      <c r="H115" s="1">
        <f t="shared" si="60"/>
        <v>0.46940080661584344</v>
      </c>
      <c r="I115" s="1">
        <f t="shared" si="61"/>
        <v>0</v>
      </c>
      <c r="J115" s="1">
        <v>1</v>
      </c>
      <c r="K115" s="1">
        <f t="shared" si="62"/>
        <v>0.53059919338415651</v>
      </c>
      <c r="L115" s="1">
        <f t="shared" si="63"/>
        <v>6.9938119036462212E-3</v>
      </c>
      <c r="M115" s="1">
        <f t="shared" si="64"/>
        <v>9.9035652144360939E-4</v>
      </c>
      <c r="N115" s="1">
        <f t="shared" si="65"/>
        <v>1.974153792056438E-3</v>
      </c>
    </row>
    <row r="116" spans="1:14" x14ac:dyDescent="0.25">
      <c r="A116" s="8">
        <v>0</v>
      </c>
      <c r="B116" s="8">
        <v>0</v>
      </c>
      <c r="C116" s="8">
        <v>1</v>
      </c>
      <c r="E116" s="1">
        <f t="shared" si="57"/>
        <v>7.2898660524313694E-2</v>
      </c>
      <c r="F116" s="1">
        <f t="shared" si="58"/>
        <v>1.0322791754968232E-2</v>
      </c>
      <c r="G116" s="1">
        <f t="shared" si="59"/>
        <v>2.0577214413627535E-2</v>
      </c>
      <c r="H116" s="1">
        <f t="shared" si="60"/>
        <v>0.47017003717306677</v>
      </c>
      <c r="I116" s="1">
        <f t="shared" si="61"/>
        <v>0</v>
      </c>
      <c r="J116" s="1">
        <v>1</v>
      </c>
      <c r="K116" s="1">
        <f t="shared" si="62"/>
        <v>0.52982996282693318</v>
      </c>
      <c r="L116" s="1">
        <f t="shared" si="63"/>
        <v>7.7247789191460699E-3</v>
      </c>
      <c r="M116" s="1">
        <f t="shared" si="64"/>
        <v>1.093864874360998E-3</v>
      </c>
      <c r="N116" s="1">
        <f t="shared" si="65"/>
        <v>2.180484949570822E-3</v>
      </c>
    </row>
    <row r="117" spans="1:14" x14ac:dyDescent="0.25">
      <c r="A117" s="8">
        <v>0</v>
      </c>
      <c r="B117" s="8">
        <v>0</v>
      </c>
      <c r="C117" s="8">
        <v>1</v>
      </c>
      <c r="E117" s="1">
        <f t="shared" si="57"/>
        <v>8.062343944345976E-2</v>
      </c>
      <c r="F117" s="1">
        <f t="shared" si="58"/>
        <v>1.141665662932923E-2</v>
      </c>
      <c r="G117" s="1">
        <f t="shared" si="59"/>
        <v>2.2757699363198356E-2</v>
      </c>
      <c r="H117" s="1">
        <f t="shared" si="60"/>
        <v>0.47101883536510769</v>
      </c>
      <c r="I117" s="1">
        <f t="shared" si="61"/>
        <v>0</v>
      </c>
      <c r="J117" s="1">
        <v>1</v>
      </c>
      <c r="K117" s="1">
        <f t="shared" si="62"/>
        <v>0.52898116463489231</v>
      </c>
      <c r="L117" s="1">
        <f t="shared" si="63"/>
        <v>8.529656178734411E-3</v>
      </c>
      <c r="M117" s="1">
        <f t="shared" si="64"/>
        <v>1.2078392640038481E-3</v>
      </c>
      <c r="N117" s="1">
        <f t="shared" si="65"/>
        <v>2.407678862711083E-3</v>
      </c>
    </row>
    <row r="118" spans="1:14" x14ac:dyDescent="0.25">
      <c r="A118" s="8">
        <v>0</v>
      </c>
      <c r="B118" s="8">
        <v>0</v>
      </c>
      <c r="C118" s="8">
        <v>1</v>
      </c>
      <c r="E118" s="1">
        <f t="shared" si="57"/>
        <v>8.9153095622194173E-2</v>
      </c>
      <c r="F118" s="1">
        <f t="shared" si="58"/>
        <v>1.2624495893333079E-2</v>
      </c>
      <c r="G118" s="1">
        <f t="shared" si="59"/>
        <v>2.5165378225909439E-2</v>
      </c>
      <c r="H118" s="1">
        <f t="shared" si="60"/>
        <v>0.47195506117175745</v>
      </c>
      <c r="I118" s="1">
        <f t="shared" si="61"/>
        <v>0</v>
      </c>
      <c r="J118" s="1">
        <v>1</v>
      </c>
      <c r="K118" s="1">
        <f t="shared" si="62"/>
        <v>0.52804493882824255</v>
      </c>
      <c r="L118" s="1">
        <f t="shared" si="63"/>
        <v>9.4153681848339974E-3</v>
      </c>
      <c r="M118" s="1">
        <f t="shared" si="64"/>
        <v>1.3332602323464931E-3</v>
      </c>
      <c r="N118" s="1">
        <f t="shared" si="65"/>
        <v>2.6576901211779877E-3</v>
      </c>
    </row>
    <row r="119" spans="1:14" x14ac:dyDescent="0.25">
      <c r="A119" s="8">
        <v>0</v>
      </c>
      <c r="B119" s="8">
        <v>0</v>
      </c>
      <c r="C119" s="8">
        <v>1</v>
      </c>
      <c r="E119" s="1">
        <f t="shared" si="57"/>
        <v>9.8568463807028175E-2</v>
      </c>
      <c r="F119" s="1">
        <f t="shared" si="58"/>
        <v>1.3957756125679573E-2</v>
      </c>
      <c r="G119" s="1">
        <f t="shared" si="59"/>
        <v>2.7823068347087428E-2</v>
      </c>
      <c r="H119" s="1">
        <f t="shared" si="60"/>
        <v>0.47298726922212292</v>
      </c>
      <c r="I119" s="1">
        <f t="shared" si="61"/>
        <v>0</v>
      </c>
      <c r="J119" s="1">
        <v>1</v>
      </c>
      <c r="K119" s="1">
        <f t="shared" si="62"/>
        <v>0.52701273077787714</v>
      </c>
      <c r="L119" s="1">
        <f t="shared" si="63"/>
        <v>1.0389367055904455E-2</v>
      </c>
      <c r="M119" s="1">
        <f t="shared" si="64"/>
        <v>1.471183034265207E-3</v>
      </c>
      <c r="N119" s="1">
        <f t="shared" si="65"/>
        <v>2.9326222456436128E-3</v>
      </c>
    </row>
    <row r="120" spans="1:14" x14ac:dyDescent="0.25">
      <c r="A120" s="8">
        <v>0</v>
      </c>
      <c r="B120" s="8">
        <v>0</v>
      </c>
      <c r="C120" s="8">
        <v>1</v>
      </c>
      <c r="E120" s="1">
        <f t="shared" si="57"/>
        <v>0.10895783086293263</v>
      </c>
      <c r="F120" s="1">
        <f t="shared" si="58"/>
        <v>1.5428939159944779E-2</v>
      </c>
      <c r="G120" s="1">
        <f t="shared" si="59"/>
        <v>3.075569059273104E-2</v>
      </c>
      <c r="H120" s="1">
        <f t="shared" si="60"/>
        <v>0.47412475197036374</v>
      </c>
      <c r="I120" s="1">
        <f t="shared" si="61"/>
        <v>0</v>
      </c>
      <c r="J120" s="1">
        <v>1</v>
      </c>
      <c r="K120" s="1">
        <f t="shared" si="62"/>
        <v>0.52587524802963626</v>
      </c>
      <c r="L120" s="1">
        <f t="shared" si="63"/>
        <v>1.1459645265963171E-2</v>
      </c>
      <c r="M120" s="1">
        <f t="shared" si="64"/>
        <v>1.6227394415140259E-3</v>
      </c>
      <c r="N120" s="1">
        <f t="shared" si="65"/>
        <v>3.2347312837550371E-3</v>
      </c>
    </row>
    <row r="121" spans="1:14" x14ac:dyDescent="0.25">
      <c r="A121" s="8">
        <v>0</v>
      </c>
      <c r="B121" s="8">
        <v>0</v>
      </c>
      <c r="C121" s="8">
        <v>1</v>
      </c>
      <c r="E121" s="1">
        <f t="shared" ref="E121:E135" si="75">E120+L120</f>
        <v>0.12041747612889581</v>
      </c>
      <c r="F121" s="1">
        <f t="shared" ref="F121:F135" si="76">F120+M120</f>
        <v>1.7051678601458804E-2</v>
      </c>
      <c r="G121" s="1">
        <f t="shared" ref="G121:G135" si="77">G120+N120</f>
        <v>3.3990421876486078E-2</v>
      </c>
      <c r="H121" s="1">
        <f t="shared" ref="H121:H135" si="78">sigmoid((E121*A121)+(F121*B121)+(G121*C121)+$P$2)</f>
        <v>0.47537758126321822</v>
      </c>
      <c r="I121" s="1">
        <f t="shared" ref="I121:I135" si="79">ROUND(H121,0)</f>
        <v>0</v>
      </c>
      <c r="J121" s="1">
        <v>1</v>
      </c>
      <c r="K121" s="1">
        <f t="shared" ref="K121:K135" si="80">J121-H121</f>
        <v>0.52462241873678184</v>
      </c>
      <c r="L121" s="1">
        <f t="shared" ref="L121:L135" si="81">$O$2*E121*$K121</f>
        <v>1.2634741516984002E-2</v>
      </c>
      <c r="M121" s="1">
        <f t="shared" ref="M121:M135" si="82">$O$2*F121*$K121</f>
        <v>1.7891385742839086E-3</v>
      </c>
      <c r="N121" s="1">
        <f t="shared" ref="N121:N135" si="83">$O$2*G121*$K121</f>
        <v>3.5664274677451504E-3</v>
      </c>
    </row>
    <row r="122" spans="1:14" x14ac:dyDescent="0.25">
      <c r="A122" s="8">
        <v>0</v>
      </c>
      <c r="B122" s="8">
        <v>0</v>
      </c>
      <c r="C122" s="8">
        <v>1</v>
      </c>
      <c r="E122" s="1">
        <f t="shared" si="75"/>
        <v>0.13305221764587982</v>
      </c>
      <c r="F122" s="1">
        <f t="shared" si="76"/>
        <v>1.8840817175742711E-2</v>
      </c>
      <c r="G122" s="1">
        <f t="shared" si="77"/>
        <v>3.755684934423123E-2</v>
      </c>
      <c r="H122" s="1">
        <f t="shared" si="78"/>
        <v>0.47675664700592874</v>
      </c>
      <c r="I122" s="1">
        <f t="shared" si="79"/>
        <v>0</v>
      </c>
      <c r="J122" s="1">
        <v>1</v>
      </c>
      <c r="K122" s="1">
        <f t="shared" si="80"/>
        <v>0.52324335299407121</v>
      </c>
      <c r="L122" s="1">
        <f t="shared" si="81"/>
        <v>1.3923737696865418E-2</v>
      </c>
      <c r="M122" s="1">
        <f t="shared" si="82"/>
        <v>1.9716664704367806E-3</v>
      </c>
      <c r="N122" s="1">
        <f t="shared" si="83"/>
        <v>3.9302743557537469E-3</v>
      </c>
    </row>
    <row r="123" spans="1:14" x14ac:dyDescent="0.25">
      <c r="A123" s="8">
        <v>0</v>
      </c>
      <c r="B123" s="8">
        <v>0</v>
      </c>
      <c r="C123" s="8">
        <v>1</v>
      </c>
      <c r="E123" s="1">
        <f t="shared" si="75"/>
        <v>0.14697595534274524</v>
      </c>
      <c r="F123" s="1">
        <f t="shared" si="76"/>
        <v>2.0812483646179492E-2</v>
      </c>
      <c r="G123" s="1">
        <f t="shared" si="77"/>
        <v>4.1487123699984974E-2</v>
      </c>
      <c r="H123" s="1">
        <f t="shared" si="78"/>
        <v>0.47827369133444864</v>
      </c>
      <c r="I123" s="1">
        <f t="shared" si="79"/>
        <v>0</v>
      </c>
      <c r="J123" s="1">
        <v>1</v>
      </c>
      <c r="K123" s="1">
        <f t="shared" si="80"/>
        <v>0.52172630866555136</v>
      </c>
      <c r="L123" s="1">
        <f t="shared" si="81"/>
        <v>1.533624452871268E-2</v>
      </c>
      <c r="M123" s="1">
        <f t="shared" si="82"/>
        <v>2.171684053376676E-3</v>
      </c>
      <c r="N123" s="1">
        <f t="shared" si="83"/>
        <v>4.3289847810288546E-3</v>
      </c>
    </row>
    <row r="124" spans="1:14" x14ac:dyDescent="0.25">
      <c r="A124" s="8">
        <v>0</v>
      </c>
      <c r="B124" s="8">
        <v>0</v>
      </c>
      <c r="C124" s="8">
        <v>1</v>
      </c>
      <c r="E124" s="1">
        <f t="shared" si="75"/>
        <v>0.16231219987145792</v>
      </c>
      <c r="F124" s="1">
        <f t="shared" si="76"/>
        <v>2.2984167699556166E-2</v>
      </c>
      <c r="G124" s="1">
        <f t="shared" si="77"/>
        <v>4.5816108481013827E-2</v>
      </c>
      <c r="H124" s="1">
        <f t="shared" si="78"/>
        <v>0.47994133636297076</v>
      </c>
      <c r="I124" s="1">
        <f t="shared" si="79"/>
        <v>0</v>
      </c>
      <c r="J124" s="1">
        <v>1</v>
      </c>
      <c r="K124" s="1">
        <f t="shared" si="80"/>
        <v>0.52005866363702924</v>
      </c>
      <c r="L124" s="1">
        <f t="shared" si="81"/>
        <v>1.6882373151427359E-2</v>
      </c>
      <c r="M124" s="1">
        <f t="shared" si="82"/>
        <v>2.3906231077281109E-3</v>
      </c>
      <c r="N124" s="1">
        <f t="shared" si="83"/>
        <v>4.7654128299370428E-3</v>
      </c>
    </row>
    <row r="125" spans="1:14" x14ac:dyDescent="0.25">
      <c r="A125" s="8">
        <v>0</v>
      </c>
      <c r="B125" s="8">
        <v>0</v>
      </c>
      <c r="C125" s="8">
        <v>1</v>
      </c>
      <c r="E125" s="1">
        <f t="shared" si="75"/>
        <v>0.17919457302288527</v>
      </c>
      <c r="F125" s="1">
        <f t="shared" si="76"/>
        <v>2.5374790807284275E-2</v>
      </c>
      <c r="G125" s="1">
        <f t="shared" si="77"/>
        <v>5.0581521310950867E-2</v>
      </c>
      <c r="H125" s="1">
        <f t="shared" si="78"/>
        <v>0.48177310319833511</v>
      </c>
      <c r="I125" s="1">
        <f t="shared" si="79"/>
        <v>0</v>
      </c>
      <c r="J125" s="1">
        <v>1</v>
      </c>
      <c r="K125" s="1">
        <f t="shared" si="80"/>
        <v>0.51822689680166489</v>
      </c>
      <c r="L125" s="1">
        <f t="shared" si="81"/>
        <v>1.8572689500269832E-2</v>
      </c>
      <c r="M125" s="1">
        <f t="shared" si="82"/>
        <v>2.629979819410069E-3</v>
      </c>
      <c r="N125" s="1">
        <f t="shared" si="83"/>
        <v>5.24254096489627E-3</v>
      </c>
    </row>
    <row r="126" spans="1:14" x14ac:dyDescent="0.25">
      <c r="A126" s="8">
        <v>0</v>
      </c>
      <c r="B126" s="8">
        <v>0</v>
      </c>
      <c r="C126" s="8">
        <v>1</v>
      </c>
      <c r="E126" s="1">
        <f t="shared" si="75"/>
        <v>0.1977672625231551</v>
      </c>
      <c r="F126" s="1">
        <f t="shared" si="76"/>
        <v>2.8004770626694344E-2</v>
      </c>
      <c r="G126" s="1">
        <f t="shared" si="77"/>
        <v>5.5824062275847137E-2</v>
      </c>
      <c r="H126" s="1">
        <f t="shared" si="78"/>
        <v>0.48378341950129222</v>
      </c>
      <c r="I126" s="1">
        <f t="shared" si="79"/>
        <v>0</v>
      </c>
      <c r="J126" s="1">
        <v>1</v>
      </c>
      <c r="K126" s="1">
        <f t="shared" si="80"/>
        <v>0.51621658049870778</v>
      </c>
      <c r="L126" s="1">
        <f t="shared" si="81"/>
        <v>2.0418147998858674E-2</v>
      </c>
      <c r="M126" s="1">
        <f t="shared" si="82"/>
        <v>2.8913053861125619E-3</v>
      </c>
      <c r="N126" s="1">
        <f t="shared" si="83"/>
        <v>5.7634613075169443E-3</v>
      </c>
    </row>
    <row r="127" spans="1:14" x14ac:dyDescent="0.25">
      <c r="A127" s="8">
        <v>0</v>
      </c>
      <c r="B127" s="8">
        <v>0</v>
      </c>
      <c r="C127" s="8">
        <v>1</v>
      </c>
      <c r="E127" s="1">
        <f t="shared" si="75"/>
        <v>0.21818541052201379</v>
      </c>
      <c r="F127" s="1">
        <f t="shared" si="76"/>
        <v>3.0896076012806906E-2</v>
      </c>
      <c r="G127" s="1">
        <f t="shared" si="77"/>
        <v>6.1587523583364084E-2</v>
      </c>
      <c r="H127" s="1">
        <f t="shared" si="78"/>
        <v>0.48598761243774868</v>
      </c>
      <c r="I127" s="1">
        <f t="shared" si="79"/>
        <v>0</v>
      </c>
      <c r="J127" s="1">
        <v>1</v>
      </c>
      <c r="K127" s="1">
        <f t="shared" si="80"/>
        <v>0.51401238756225132</v>
      </c>
      <c r="L127" s="1">
        <f t="shared" si="81"/>
        <v>2.2430000758734053E-2</v>
      </c>
      <c r="M127" s="1">
        <f t="shared" si="82"/>
        <v>3.1761931595295362E-3</v>
      </c>
      <c r="N127" s="1">
        <f t="shared" si="83"/>
        <v>6.3313500082262872E-3</v>
      </c>
    </row>
    <row r="128" spans="1:14" x14ac:dyDescent="0.25">
      <c r="A128" s="8">
        <v>0</v>
      </c>
      <c r="B128" s="8">
        <v>0</v>
      </c>
      <c r="C128" s="8">
        <v>1</v>
      </c>
      <c r="E128" s="1">
        <f t="shared" si="75"/>
        <v>0.24061541128074784</v>
      </c>
      <c r="F128" s="1">
        <f t="shared" si="76"/>
        <v>3.4072269172336439E-2</v>
      </c>
      <c r="G128" s="1">
        <f t="shared" si="77"/>
        <v>6.7918873591590379E-2</v>
      </c>
      <c r="H128" s="1">
        <f t="shared" si="78"/>
        <v>0.48840188341540958</v>
      </c>
      <c r="I128" s="1">
        <f t="shared" si="79"/>
        <v>0</v>
      </c>
      <c r="J128" s="1">
        <v>1</v>
      </c>
      <c r="K128" s="1">
        <f t="shared" si="80"/>
        <v>0.51159811658459042</v>
      </c>
      <c r="L128" s="1">
        <f t="shared" si="81"/>
        <v>2.4619678246491444E-2</v>
      </c>
      <c r="M128" s="1">
        <f t="shared" si="82"/>
        <v>3.4862617472661049E-3</v>
      </c>
      <c r="N128" s="1">
        <f t="shared" si="83"/>
        <v>6.9494335620009029E-3</v>
      </c>
    </row>
    <row r="129" spans="1:16" x14ac:dyDescent="0.25">
      <c r="A129" s="8">
        <v>0</v>
      </c>
      <c r="B129" s="8">
        <v>0</v>
      </c>
      <c r="C129" s="8">
        <v>1</v>
      </c>
      <c r="E129" s="1">
        <f t="shared" si="75"/>
        <v>0.26523508952723929</v>
      </c>
      <c r="F129" s="1">
        <f t="shared" si="76"/>
        <v>3.7558530919602547E-2</v>
      </c>
      <c r="G129" s="1">
        <f t="shared" si="77"/>
        <v>7.4868307153591288E-2</v>
      </c>
      <c r="H129" s="1">
        <f t="shared" si="78"/>
        <v>0.49104326056425585</v>
      </c>
      <c r="I129" s="1">
        <f t="shared" si="79"/>
        <v>0</v>
      </c>
      <c r="J129" s="1">
        <v>1</v>
      </c>
      <c r="K129" s="1">
        <f t="shared" si="80"/>
        <v>0.50895673943574415</v>
      </c>
      <c r="L129" s="1">
        <f t="shared" si="81"/>
        <v>2.699863726994628E-2</v>
      </c>
      <c r="M129" s="1">
        <f t="shared" si="82"/>
        <v>3.8231334869674991E-3</v>
      </c>
      <c r="N129" s="1">
        <f t="shared" si="83"/>
        <v>7.620945899193125E-3</v>
      </c>
    </row>
    <row r="130" spans="1:16" x14ac:dyDescent="0.25">
      <c r="A130" s="8">
        <v>0</v>
      </c>
      <c r="B130" s="8">
        <v>0</v>
      </c>
      <c r="C130" s="8">
        <v>1</v>
      </c>
      <c r="E130" s="1">
        <f t="shared" si="75"/>
        <v>0.29223372679718557</v>
      </c>
      <c r="F130" s="1">
        <f t="shared" si="76"/>
        <v>4.1381664406570047E-2</v>
      </c>
      <c r="G130" s="1">
        <f t="shared" si="77"/>
        <v>8.2489253052784414E-2</v>
      </c>
      <c r="H130" s="1">
        <f t="shared" si="78"/>
        <v>0.49392952452343269</v>
      </c>
      <c r="I130" s="1">
        <f t="shared" si="79"/>
        <v>0</v>
      </c>
      <c r="J130" s="1">
        <v>1</v>
      </c>
      <c r="K130" s="1">
        <f t="shared" si="80"/>
        <v>0.50607047547656725</v>
      </c>
      <c r="L130" s="1">
        <f t="shared" si="81"/>
        <v>2.9578172214108189E-2</v>
      </c>
      <c r="M130" s="1">
        <f t="shared" si="82"/>
        <v>4.1884077164489287E-3</v>
      </c>
      <c r="N130" s="1">
        <f t="shared" si="83"/>
        <v>8.349075102825898E-3</v>
      </c>
    </row>
    <row r="131" spans="1:16" x14ac:dyDescent="0.25">
      <c r="A131" s="8">
        <v>0</v>
      </c>
      <c r="B131" s="8">
        <v>0</v>
      </c>
      <c r="C131" s="8">
        <v>1</v>
      </c>
      <c r="E131" s="1">
        <f t="shared" si="75"/>
        <v>0.32181189901129376</v>
      </c>
      <c r="F131" s="1">
        <f t="shared" si="76"/>
        <v>4.5570072123018973E-2</v>
      </c>
      <c r="G131" s="1">
        <f t="shared" si="77"/>
        <v>9.0838328155610312E-2</v>
      </c>
      <c r="H131" s="1">
        <f t="shared" si="78"/>
        <v>0.49707910278312928</v>
      </c>
      <c r="I131" s="1">
        <f t="shared" si="79"/>
        <v>0</v>
      </c>
      <c r="J131" s="1">
        <v>1</v>
      </c>
      <c r="K131" s="1">
        <f t="shared" si="80"/>
        <v>0.50292089721687072</v>
      </c>
      <c r="L131" s="1">
        <f t="shared" si="81"/>
        <v>3.2369185797164975E-2</v>
      </c>
      <c r="M131" s="1">
        <f t="shared" si="82"/>
        <v>4.5836283116692427E-3</v>
      </c>
      <c r="N131" s="1">
        <f t="shared" si="83"/>
        <v>9.1368986995400137E-3</v>
      </c>
    </row>
    <row r="132" spans="1:16" x14ac:dyDescent="0.25">
      <c r="A132" s="8">
        <v>0</v>
      </c>
      <c r="B132" s="8">
        <v>0</v>
      </c>
      <c r="C132" s="8">
        <v>1</v>
      </c>
      <c r="E132" s="1">
        <f t="shared" si="75"/>
        <v>0.35418108480845872</v>
      </c>
      <c r="F132" s="1">
        <f t="shared" si="76"/>
        <v>5.0153700434688218E-2</v>
      </c>
      <c r="G132" s="1">
        <f t="shared" si="77"/>
        <v>9.9975226855150326E-2</v>
      </c>
      <c r="H132" s="1">
        <f t="shared" si="78"/>
        <v>0.50051092765034721</v>
      </c>
      <c r="I132" s="1">
        <f t="shared" si="79"/>
        <v>1</v>
      </c>
      <c r="J132" s="1">
        <v>1</v>
      </c>
      <c r="K132" s="1">
        <f t="shared" si="80"/>
        <v>0.49948907234965279</v>
      </c>
      <c r="L132" s="1">
        <f t="shared" si="81"/>
        <v>3.5381916298954152E-2</v>
      </c>
      <c r="M132" s="1">
        <f t="shared" si="82"/>
        <v>5.0102450610049597E-3</v>
      </c>
      <c r="N132" s="1">
        <f t="shared" si="83"/>
        <v>9.9873066639650267E-3</v>
      </c>
    </row>
    <row r="133" spans="1:16" x14ac:dyDescent="0.25">
      <c r="A133" s="8">
        <v>0</v>
      </c>
      <c r="B133" s="8">
        <v>0</v>
      </c>
      <c r="C133" s="8">
        <v>1</v>
      </c>
      <c r="E133" s="1">
        <f t="shared" si="75"/>
        <v>0.38956300110741288</v>
      </c>
      <c r="F133" s="1">
        <f t="shared" si="76"/>
        <v>5.516394549569318E-2</v>
      </c>
      <c r="G133" s="1">
        <f t="shared" si="77"/>
        <v>0.10996253351911535</v>
      </c>
      <c r="H133" s="1">
        <f t="shared" si="78"/>
        <v>0.50424425292683739</v>
      </c>
      <c r="I133" s="1">
        <f t="shared" si="79"/>
        <v>1</v>
      </c>
      <c r="J133" s="1">
        <v>1</v>
      </c>
      <c r="K133" s="1">
        <f t="shared" si="80"/>
        <v>0.49575574707316261</v>
      </c>
      <c r="L133" s="1">
        <f t="shared" si="81"/>
        <v>3.8625619329213753E-2</v>
      </c>
      <c r="M133" s="1">
        <f t="shared" si="82"/>
        <v>5.4695686021441195E-3</v>
      </c>
      <c r="N133" s="1">
        <f t="shared" si="83"/>
        <v>1.0902911590965344E-2</v>
      </c>
    </row>
    <row r="134" spans="1:16" x14ac:dyDescent="0.25">
      <c r="A134" s="8">
        <v>0</v>
      </c>
      <c r="B134" s="8">
        <v>0</v>
      </c>
      <c r="C134" s="8">
        <v>1</v>
      </c>
      <c r="E134" s="1">
        <f t="shared" si="75"/>
        <v>0.42818862043662664</v>
      </c>
      <c r="F134" s="1">
        <f t="shared" si="76"/>
        <v>6.06335140978373E-2</v>
      </c>
      <c r="G134" s="1">
        <f t="shared" si="77"/>
        <v>0.1208654451100807</v>
      </c>
      <c r="H134" s="1">
        <f t="shared" si="78"/>
        <v>0.50829842468251485</v>
      </c>
      <c r="I134" s="1">
        <f t="shared" si="79"/>
        <v>1</v>
      </c>
      <c r="J134" s="1">
        <v>1</v>
      </c>
      <c r="K134" s="1">
        <f t="shared" si="80"/>
        <v>0.49170157531748515</v>
      </c>
      <c r="L134" s="1">
        <f t="shared" si="81"/>
        <v>4.2108203840342015E-2</v>
      </c>
      <c r="M134" s="1">
        <f t="shared" si="82"/>
        <v>5.9627188797883096E-3</v>
      </c>
      <c r="N134" s="1">
        <f t="shared" si="83"/>
        <v>1.1885945952415143E-2</v>
      </c>
    </row>
    <row r="135" spans="1:16" x14ac:dyDescent="0.25">
      <c r="A135" s="8">
        <v>0</v>
      </c>
      <c r="B135" s="8">
        <v>0</v>
      </c>
      <c r="C135" s="8">
        <v>1</v>
      </c>
      <c r="E135" s="1">
        <f t="shared" si="75"/>
        <v>0.47029682427696867</v>
      </c>
      <c r="F135" s="1">
        <f t="shared" si="76"/>
        <v>6.6596232977625611E-2</v>
      </c>
      <c r="G135" s="1">
        <f t="shared" si="77"/>
        <v>0.13275139106249584</v>
      </c>
      <c r="H135" s="1">
        <f t="shared" si="78"/>
        <v>0.51269260216455725</v>
      </c>
      <c r="I135" s="1">
        <f t="shared" si="79"/>
        <v>1</v>
      </c>
      <c r="J135" s="1">
        <v>1</v>
      </c>
      <c r="K135" s="1">
        <f t="shared" si="80"/>
        <v>0.48730739783544275</v>
      </c>
      <c r="L135" s="1">
        <f t="shared" si="81"/>
        <v>4.5835824329736416E-2</v>
      </c>
      <c r="M135" s="1">
        <f t="shared" si="82"/>
        <v>6.4905673995939274E-3</v>
      </c>
      <c r="N135" s="1">
        <f t="shared" si="83"/>
        <v>1.293814698754002E-2</v>
      </c>
    </row>
    <row r="136" spans="1:16" x14ac:dyDescent="0.25">
      <c r="A136" s="10">
        <v>1</v>
      </c>
      <c r="B136" s="10">
        <v>0</v>
      </c>
      <c r="C136" s="10">
        <v>0</v>
      </c>
      <c r="E136" s="1">
        <v>0.95148744146297404</v>
      </c>
      <c r="F136" s="1">
        <v>0.13473507805282492</v>
      </c>
      <c r="G136" s="1">
        <v>0.26857778941394084</v>
      </c>
      <c r="H136" s="1">
        <f>sigmoid((E136*A136)+(F136*B136)+(G136*C136)+$P$2)</f>
        <v>0.75121748321078818</v>
      </c>
      <c r="I136" s="1">
        <f>ROUND(H136,0)</f>
        <v>1</v>
      </c>
      <c r="J136" s="1">
        <v>1</v>
      </c>
      <c r="K136" s="1">
        <f>J136-H136</f>
        <v>0.24878251678921182</v>
      </c>
      <c r="L136" s="1">
        <f>$O$2*E136*$K136</f>
        <v>4.734268807609731E-2</v>
      </c>
      <c r="M136" s="1">
        <f>$O$2*F136*$K136</f>
        <v>6.703946363554536E-3</v>
      </c>
      <c r="N136" s="1">
        <f>$O$2*G136*$K136</f>
        <v>1.3363491680816627E-2</v>
      </c>
      <c r="O136">
        <v>0.2</v>
      </c>
      <c r="P136">
        <v>1</v>
      </c>
    </row>
    <row r="137" spans="1:16" x14ac:dyDescent="0.25">
      <c r="A137" s="9">
        <v>0</v>
      </c>
      <c r="B137" s="9">
        <v>1</v>
      </c>
      <c r="C137" s="9">
        <v>0</v>
      </c>
      <c r="E137" s="1">
        <f t="shared" ref="E137:E143" si="84">E136+L136</f>
        <v>0.99883012953907135</v>
      </c>
      <c r="F137" s="1">
        <f t="shared" ref="F137:F143" si="85">F136+M136</f>
        <v>0.14143902441637946</v>
      </c>
      <c r="G137" s="1">
        <f t="shared" ref="G137:G143" si="86">G136+N136</f>
        <v>0.28194128109475747</v>
      </c>
      <c r="H137" s="1">
        <f t="shared" ref="H137:H143" si="87">sigmoid((E137*A137)+(F137*B137)+(G137*C137)+$P$2)</f>
        <v>0.5158874952792788</v>
      </c>
      <c r="I137" s="1">
        <f t="shared" ref="I137:I143" si="88">ROUND(H137,0)</f>
        <v>1</v>
      </c>
      <c r="J137" s="1">
        <v>0</v>
      </c>
      <c r="K137" s="1">
        <f t="shared" ref="K137:K143" si="89">J137-H137</f>
        <v>-0.5158874952792788</v>
      </c>
      <c r="L137" s="1">
        <f t="shared" ref="L137:L143" si="90">$O$2*E137*$K137</f>
        <v>-0.10305679474747782</v>
      </c>
      <c r="M137" s="1">
        <f t="shared" ref="M137:M143" si="91">$O$2*F137*$K137</f>
        <v>-1.4593324808182153E-2</v>
      </c>
      <c r="N137" s="1">
        <f t="shared" ref="N137:N143" si="92">$O$2*G137*$K137</f>
        <v>-2.9089996263961103E-2</v>
      </c>
    </row>
    <row r="138" spans="1:16" x14ac:dyDescent="0.25">
      <c r="A138" s="8">
        <v>0</v>
      </c>
      <c r="B138" s="8">
        <v>0</v>
      </c>
      <c r="C138" s="8">
        <v>1</v>
      </c>
      <c r="E138" s="1">
        <f t="shared" si="84"/>
        <v>0.89577333479159349</v>
      </c>
      <c r="F138" s="1">
        <f t="shared" si="85"/>
        <v>0.1268456996081973</v>
      </c>
      <c r="G138" s="1">
        <f t="shared" si="86"/>
        <v>0.25285128483079639</v>
      </c>
      <c r="H138" s="1">
        <f t="shared" si="87"/>
        <v>0.55558608391020936</v>
      </c>
      <c r="I138" s="1">
        <f t="shared" si="88"/>
        <v>1</v>
      </c>
      <c r="J138" s="1">
        <v>1</v>
      </c>
      <c r="K138" s="1">
        <f t="shared" si="89"/>
        <v>0.44441391608979064</v>
      </c>
      <c r="L138" s="1">
        <f t="shared" si="90"/>
        <v>7.9618827128708644E-2</v>
      </c>
      <c r="M138" s="1">
        <f t="shared" si="91"/>
        <v>1.1274398820405637E-2</v>
      </c>
      <c r="N138" s="1">
        <f t="shared" si="92"/>
        <v>2.247412593599786E-2</v>
      </c>
    </row>
    <row r="139" spans="1:16" x14ac:dyDescent="0.25">
      <c r="A139" s="7">
        <v>1</v>
      </c>
      <c r="B139" s="7">
        <v>1</v>
      </c>
      <c r="C139" s="7">
        <v>0</v>
      </c>
      <c r="E139" s="1">
        <f t="shared" si="84"/>
        <v>0.97539216192030209</v>
      </c>
      <c r="F139" s="1">
        <f t="shared" si="85"/>
        <v>0.13812009842860296</v>
      </c>
      <c r="G139" s="1">
        <f t="shared" si="86"/>
        <v>0.27532541076679423</v>
      </c>
      <c r="H139" s="1">
        <f t="shared" si="87"/>
        <v>0.78441915739584112</v>
      </c>
      <c r="I139" s="1">
        <f t="shared" si="88"/>
        <v>1</v>
      </c>
      <c r="J139" s="1">
        <v>0</v>
      </c>
      <c r="K139" s="1">
        <f t="shared" si="89"/>
        <v>-0.78441915739584112</v>
      </c>
      <c r="L139" s="1">
        <f t="shared" si="90"/>
        <v>-0.15302325955680623</v>
      </c>
      <c r="M139" s="1">
        <f t="shared" si="91"/>
        <v>-2.1668810245759073E-2</v>
      </c>
      <c r="N139" s="1">
        <f t="shared" si="92"/>
        <v>-4.3194105344670518E-2</v>
      </c>
    </row>
    <row r="140" spans="1:16" x14ac:dyDescent="0.25">
      <c r="A140" s="6">
        <v>1</v>
      </c>
      <c r="B140" s="6">
        <v>0</v>
      </c>
      <c r="C140" s="6">
        <v>1</v>
      </c>
      <c r="E140" s="1">
        <f t="shared" si="84"/>
        <v>0.82236890236349591</v>
      </c>
      <c r="F140" s="1">
        <f t="shared" si="85"/>
        <v>0.11645128818284388</v>
      </c>
      <c r="G140" s="1">
        <f t="shared" si="86"/>
        <v>0.23213130542212371</v>
      </c>
      <c r="H140" s="1">
        <f t="shared" si="87"/>
        <v>0.77280310100204241</v>
      </c>
      <c r="I140" s="1">
        <f t="shared" si="88"/>
        <v>1</v>
      </c>
      <c r="J140" s="1">
        <v>1</v>
      </c>
      <c r="K140" s="1">
        <f t="shared" si="89"/>
        <v>0.22719689899795759</v>
      </c>
      <c r="L140" s="1">
        <f t="shared" si="90"/>
        <v>3.7367932889868088E-2</v>
      </c>
      <c r="M140" s="1">
        <f t="shared" si="91"/>
        <v>5.2914743118919272E-3</v>
      </c>
      <c r="N140" s="1">
        <f t="shared" si="92"/>
        <v>1.0547902550450856E-2</v>
      </c>
    </row>
    <row r="141" spans="1:16" x14ac:dyDescent="0.25">
      <c r="A141" s="4">
        <v>0</v>
      </c>
      <c r="B141" s="4">
        <v>1</v>
      </c>
      <c r="C141" s="4">
        <v>1</v>
      </c>
      <c r="E141" s="1">
        <f t="shared" si="84"/>
        <v>0.85973683525336397</v>
      </c>
      <c r="F141" s="1">
        <f t="shared" si="85"/>
        <v>0.12174276249473581</v>
      </c>
      <c r="G141" s="1">
        <f t="shared" si="86"/>
        <v>0.24267920797257456</v>
      </c>
      <c r="H141" s="1">
        <f t="shared" si="87"/>
        <v>0.59295488782120875</v>
      </c>
      <c r="I141" s="1">
        <f t="shared" si="88"/>
        <v>1</v>
      </c>
      <c r="J141" s="1">
        <v>0</v>
      </c>
      <c r="K141" s="1">
        <f t="shared" si="89"/>
        <v>-0.59295488782120875</v>
      </c>
      <c r="L141" s="1">
        <f t="shared" si="90"/>
        <v>-0.10195703174068391</v>
      </c>
      <c r="M141" s="1">
        <f t="shared" si="91"/>
        <v>-1.4437593215622027E-2</v>
      </c>
      <c r="N141" s="1">
        <f t="shared" si="92"/>
        <v>-2.8779564507983548E-2</v>
      </c>
    </row>
    <row r="142" spans="1:16" x14ac:dyDescent="0.25">
      <c r="A142" s="5">
        <v>0</v>
      </c>
      <c r="B142" s="5">
        <v>0</v>
      </c>
      <c r="C142" s="5">
        <v>0</v>
      </c>
      <c r="E142" s="1">
        <f t="shared" si="84"/>
        <v>0.75777980351268004</v>
      </c>
      <c r="F142" s="1">
        <f t="shared" si="85"/>
        <v>0.10730516927911378</v>
      </c>
      <c r="G142" s="1">
        <f t="shared" si="86"/>
        <v>0.213899643464591</v>
      </c>
      <c r="H142" s="1">
        <f t="shared" si="87"/>
        <v>0.46211715726000974</v>
      </c>
      <c r="I142" s="1">
        <f t="shared" si="88"/>
        <v>0</v>
      </c>
      <c r="J142" s="1">
        <v>1</v>
      </c>
      <c r="K142" s="1">
        <f t="shared" si="89"/>
        <v>0.53788284273999021</v>
      </c>
      <c r="L142" s="1">
        <f t="shared" si="90"/>
        <v>8.1519350976870311E-2</v>
      </c>
      <c r="M142" s="1">
        <f t="shared" si="91"/>
        <v>1.1543521898509117E-2</v>
      </c>
      <c r="N142" s="1">
        <f t="shared" si="92"/>
        <v>2.3010589657560917E-2</v>
      </c>
    </row>
    <row r="143" spans="1:16" x14ac:dyDescent="0.25">
      <c r="A143" s="1">
        <v>1</v>
      </c>
      <c r="B143" s="1">
        <v>1</v>
      </c>
      <c r="C143" s="1">
        <v>1</v>
      </c>
      <c r="E143" s="1">
        <f t="shared" si="84"/>
        <v>0.83929915448955039</v>
      </c>
      <c r="F143" s="1">
        <f t="shared" si="85"/>
        <v>0.11884869117762289</v>
      </c>
      <c r="G143" s="1">
        <f t="shared" si="86"/>
        <v>0.23691023312215193</v>
      </c>
      <c r="H143" s="1">
        <f t="shared" si="87"/>
        <v>0.79960969217368982</v>
      </c>
      <c r="I143" s="1">
        <f t="shared" si="88"/>
        <v>1</v>
      </c>
      <c r="J143" s="1">
        <v>0</v>
      </c>
      <c r="K143" s="1">
        <f t="shared" si="89"/>
        <v>-0.79960969217368982</v>
      </c>
      <c r="L143" s="1">
        <f t="shared" si="90"/>
        <v>-0.13422234771260552</v>
      </c>
      <c r="M143" s="1">
        <f t="shared" si="91"/>
        <v>-1.9006513073556996E-2</v>
      </c>
      <c r="N143" s="1">
        <f t="shared" si="92"/>
        <v>-3.7887143715920203E-2</v>
      </c>
    </row>
    <row r="144" spans="1:16" x14ac:dyDescent="0.25">
      <c r="A144" s="9">
        <v>0</v>
      </c>
      <c r="B144" s="9">
        <v>1</v>
      </c>
      <c r="C144" s="9">
        <v>0</v>
      </c>
      <c r="E144" s="1">
        <f t="shared" ref="E144:E158" si="93">E143+L143</f>
        <v>0.70507680677694484</v>
      </c>
      <c r="F144" s="1">
        <f t="shared" ref="F144:F158" si="94">F143+M143</f>
        <v>9.9842178104065898E-2</v>
      </c>
      <c r="G144" s="1">
        <f t="shared" ref="G144:G158" si="95">G143+N143</f>
        <v>0.19902308940623173</v>
      </c>
      <c r="H144" s="1">
        <f t="shared" ref="H144:H158" si="96">sigmoid((E144*A144)+(F144*B144)+(G144*C144)+$P$2)</f>
        <v>0.50046106671509449</v>
      </c>
      <c r="I144" s="1">
        <f t="shared" ref="I144:I158" si="97">ROUND(H144,0)</f>
        <v>1</v>
      </c>
      <c r="J144" s="1">
        <v>0</v>
      </c>
      <c r="K144" s="1">
        <f t="shared" ref="K144:K158" si="98">J144-H144</f>
        <v>-0.50046106671509449</v>
      </c>
      <c r="L144" s="1">
        <f t="shared" ref="L144:L158" si="99">$O$2*E144*$K144</f>
        <v>-7.0572698167132478E-2</v>
      </c>
      <c r="M144" s="1">
        <f t="shared" ref="M144:M158" si="100">$O$2*F144*$K144</f>
        <v>-9.9934245914238551E-3</v>
      </c>
      <c r="N144" s="1">
        <f t="shared" ref="N144:N158" si="101">$O$2*G144*$K144</f>
        <v>-1.9920661525035271E-2</v>
      </c>
    </row>
    <row r="145" spans="1:14" x14ac:dyDescent="0.25">
      <c r="A145" s="9">
        <v>0</v>
      </c>
      <c r="B145" s="9">
        <v>1</v>
      </c>
      <c r="C145" s="9">
        <v>0</v>
      </c>
      <c r="E145" s="1">
        <f t="shared" si="93"/>
        <v>0.63450410860981232</v>
      </c>
      <c r="F145" s="1">
        <f t="shared" si="94"/>
        <v>8.9848753512642043E-2</v>
      </c>
      <c r="G145" s="1">
        <f t="shared" si="95"/>
        <v>0.17910242788119646</v>
      </c>
      <c r="H145" s="1">
        <f t="shared" si="96"/>
        <v>0.49670647967478998</v>
      </c>
      <c r="I145" s="1">
        <f t="shared" si="97"/>
        <v>0</v>
      </c>
      <c r="J145" s="1">
        <v>0</v>
      </c>
      <c r="K145" s="1">
        <f t="shared" si="98"/>
        <v>-0.49670647967478998</v>
      </c>
      <c r="L145" s="1">
        <f t="shared" si="99"/>
        <v>-6.3032460425354098E-2</v>
      </c>
      <c r="M145" s="1">
        <f t="shared" si="100"/>
        <v>-8.9256916120864713E-3</v>
      </c>
      <c r="N145" s="1">
        <f t="shared" si="101"/>
        <v>-1.779226729081541E-2</v>
      </c>
    </row>
    <row r="146" spans="1:14" x14ac:dyDescent="0.25">
      <c r="A146" s="9">
        <v>0</v>
      </c>
      <c r="B146" s="9">
        <v>1</v>
      </c>
      <c r="C146" s="9">
        <v>0</v>
      </c>
      <c r="E146" s="1">
        <f t="shared" si="93"/>
        <v>0.57147164818445817</v>
      </c>
      <c r="F146" s="1">
        <f t="shared" si="94"/>
        <v>8.0923061900555565E-2</v>
      </c>
      <c r="G146" s="1">
        <f t="shared" si="95"/>
        <v>0.16131016059038106</v>
      </c>
      <c r="H146" s="1">
        <f t="shared" si="96"/>
        <v>0.49333724896887776</v>
      </c>
      <c r="I146" s="1">
        <f t="shared" si="97"/>
        <v>0</v>
      </c>
      <c r="J146" s="1">
        <v>0</v>
      </c>
      <c r="K146" s="1">
        <f t="shared" si="98"/>
        <v>-0.49333724896887776</v>
      </c>
      <c r="L146" s="1">
        <f t="shared" si="99"/>
        <v>-5.6385650155806197E-2</v>
      </c>
      <c r="M146" s="1">
        <f t="shared" si="100"/>
        <v>-7.9844721472316586E-3</v>
      </c>
      <c r="N146" s="1">
        <f t="shared" si="101"/>
        <v>-1.5916062171277296E-2</v>
      </c>
    </row>
    <row r="147" spans="1:14" x14ac:dyDescent="0.25">
      <c r="A147" s="9">
        <v>0</v>
      </c>
      <c r="B147" s="9">
        <v>1</v>
      </c>
      <c r="C147" s="9">
        <v>0</v>
      </c>
      <c r="E147" s="1">
        <f t="shared" si="93"/>
        <v>0.51508599802865196</v>
      </c>
      <c r="F147" s="1">
        <f t="shared" si="94"/>
        <v>7.2938589753323901E-2</v>
      </c>
      <c r="G147" s="1">
        <f t="shared" si="95"/>
        <v>0.14539409841910375</v>
      </c>
      <c r="H147" s="1">
        <f t="shared" si="96"/>
        <v>0.49031070510702762</v>
      </c>
      <c r="I147" s="1">
        <f t="shared" si="97"/>
        <v>0</v>
      </c>
      <c r="J147" s="1">
        <v>0</v>
      </c>
      <c r="K147" s="1">
        <f t="shared" si="98"/>
        <v>-0.49031070510702762</v>
      </c>
      <c r="L147" s="1">
        <f t="shared" si="99"/>
        <v>-5.051043577683708E-2</v>
      </c>
      <c r="M147" s="1">
        <f t="shared" si="100"/>
        <v>-7.1525142742928927E-3</v>
      </c>
      <c r="N147" s="1">
        <f t="shared" si="101"/>
        <v>-1.4257656582854267E-2</v>
      </c>
    </row>
    <row r="148" spans="1:14" x14ac:dyDescent="0.25">
      <c r="A148" s="9">
        <v>0</v>
      </c>
      <c r="B148" s="9">
        <v>1</v>
      </c>
      <c r="C148" s="9">
        <v>0</v>
      </c>
      <c r="E148" s="1">
        <f t="shared" si="93"/>
        <v>0.4645755622518149</v>
      </c>
      <c r="F148" s="1">
        <f t="shared" si="94"/>
        <v>6.5786075479031009E-2</v>
      </c>
      <c r="G148" s="1">
        <f t="shared" si="95"/>
        <v>0.13113644183624948</v>
      </c>
      <c r="H148" s="1">
        <f t="shared" si="96"/>
        <v>0.48758943651087339</v>
      </c>
      <c r="I148" s="1">
        <f t="shared" si="97"/>
        <v>0</v>
      </c>
      <c r="J148" s="1">
        <v>0</v>
      </c>
      <c r="K148" s="1">
        <f t="shared" si="98"/>
        <v>-0.48758943651087339</v>
      </c>
      <c r="L148" s="1">
        <f t="shared" si="99"/>
        <v>-4.5304427323016927E-2</v>
      </c>
      <c r="M148" s="1">
        <f t="shared" si="100"/>
        <v>-6.4153190946165039E-3</v>
      </c>
      <c r="N148" s="1">
        <f t="shared" si="101"/>
        <v>-1.2788148756195562E-2</v>
      </c>
    </row>
    <row r="149" spans="1:14" x14ac:dyDescent="0.25">
      <c r="A149" s="7">
        <v>1</v>
      </c>
      <c r="B149" s="7">
        <v>1</v>
      </c>
      <c r="C149" s="7">
        <v>0</v>
      </c>
      <c r="E149" s="1">
        <f t="shared" si="93"/>
        <v>0.41927113492879797</v>
      </c>
      <c r="F149" s="1">
        <f t="shared" si="94"/>
        <v>5.9370756384414504E-2</v>
      </c>
      <c r="G149" s="1">
        <f t="shared" si="95"/>
        <v>0.11834829308005392</v>
      </c>
      <c r="H149" s="1">
        <f t="shared" si="96"/>
        <v>0.62873471754033061</v>
      </c>
      <c r="I149" s="1">
        <f t="shared" si="97"/>
        <v>1</v>
      </c>
      <c r="J149" s="1">
        <v>0</v>
      </c>
      <c r="K149" s="1">
        <f t="shared" si="98"/>
        <v>-0.62873471754033061</v>
      </c>
      <c r="L149" s="1">
        <f t="shared" si="99"/>
        <v>-5.272206371845433E-2</v>
      </c>
      <c r="M149" s="1">
        <f t="shared" si="100"/>
        <v>-7.4656911491021273E-3</v>
      </c>
      <c r="N149" s="1">
        <f t="shared" si="101"/>
        <v>-1.4881936124213593E-2</v>
      </c>
    </row>
    <row r="150" spans="1:14" x14ac:dyDescent="0.25">
      <c r="A150" s="7">
        <v>1</v>
      </c>
      <c r="B150" s="7">
        <v>1</v>
      </c>
      <c r="C150" s="7">
        <v>0</v>
      </c>
      <c r="E150" s="1">
        <f t="shared" si="93"/>
        <v>0.36654907121034364</v>
      </c>
      <c r="F150" s="1">
        <f t="shared" si="94"/>
        <v>5.1905065235312374E-2</v>
      </c>
      <c r="G150" s="1">
        <f t="shared" si="95"/>
        <v>0.10346635695584032</v>
      </c>
      <c r="H150" s="1">
        <f t="shared" si="96"/>
        <v>0.61019191875720147</v>
      </c>
      <c r="I150" s="1">
        <f t="shared" si="97"/>
        <v>1</v>
      </c>
      <c r="J150" s="1">
        <v>0</v>
      </c>
      <c r="K150" s="1">
        <f t="shared" si="98"/>
        <v>-0.61019191875720147</v>
      </c>
      <c r="L150" s="1">
        <f t="shared" si="99"/>
        <v>-4.4733056216101935E-2</v>
      </c>
      <c r="M150" s="1">
        <f t="shared" si="100"/>
        <v>-6.334410269830594E-3</v>
      </c>
      <c r="N150" s="1">
        <f t="shared" si="101"/>
        <v>-1.2626866975540345E-2</v>
      </c>
    </row>
    <row r="151" spans="1:14" x14ac:dyDescent="0.25">
      <c r="A151" s="7">
        <v>1</v>
      </c>
      <c r="B151" s="7">
        <v>1</v>
      </c>
      <c r="C151" s="7">
        <v>0</v>
      </c>
      <c r="E151" s="1">
        <f t="shared" si="93"/>
        <v>0.32181601499424173</v>
      </c>
      <c r="F151" s="1">
        <f t="shared" si="94"/>
        <v>4.557065496548178E-2</v>
      </c>
      <c r="G151" s="1">
        <f t="shared" si="95"/>
        <v>9.0839489980299976E-2</v>
      </c>
      <c r="H151" s="1">
        <f t="shared" si="96"/>
        <v>0.59391520527843</v>
      </c>
      <c r="I151" s="1">
        <f t="shared" si="97"/>
        <v>1</v>
      </c>
      <c r="J151" s="1">
        <v>0</v>
      </c>
      <c r="K151" s="1">
        <f t="shared" si="98"/>
        <v>-0.59391520527843</v>
      </c>
      <c r="L151" s="1">
        <f t="shared" si="99"/>
        <v>-3.8226284921438279E-2</v>
      </c>
      <c r="M151" s="1">
        <f t="shared" si="100"/>
        <v>-5.4130209796993236E-3</v>
      </c>
      <c r="N151" s="1">
        <f t="shared" si="101"/>
        <v>-1.079019086780755E-2</v>
      </c>
    </row>
    <row r="152" spans="1:14" x14ac:dyDescent="0.25">
      <c r="A152" s="7">
        <v>1</v>
      </c>
      <c r="B152" s="7">
        <v>1</v>
      </c>
      <c r="C152" s="7">
        <v>0</v>
      </c>
      <c r="E152" s="1">
        <f t="shared" si="93"/>
        <v>0.28358973007280347</v>
      </c>
      <c r="F152" s="1">
        <f t="shared" si="94"/>
        <v>4.0157633985782454E-2</v>
      </c>
      <c r="G152" s="1">
        <f t="shared" si="95"/>
        <v>8.0049299112492422E-2</v>
      </c>
      <c r="H152" s="1">
        <f t="shared" si="96"/>
        <v>0.57960898924509185</v>
      </c>
      <c r="I152" s="1">
        <f t="shared" si="97"/>
        <v>1</v>
      </c>
      <c r="J152" s="1">
        <v>0</v>
      </c>
      <c r="K152" s="1">
        <f t="shared" si="98"/>
        <v>-0.57960898924509185</v>
      </c>
      <c r="L152" s="1">
        <f t="shared" si="99"/>
        <v>-3.2874231361557212E-2</v>
      </c>
      <c r="M152" s="1">
        <f t="shared" si="100"/>
        <v>-4.6551451289947431E-3</v>
      </c>
      <c r="N152" s="1">
        <f t="shared" si="101"/>
        <v>-9.2794586696739526E-3</v>
      </c>
    </row>
    <row r="153" spans="1:14" x14ac:dyDescent="0.25">
      <c r="A153" s="7">
        <v>1</v>
      </c>
      <c r="B153" s="7">
        <v>1</v>
      </c>
      <c r="C153" s="7">
        <v>0</v>
      </c>
      <c r="E153" s="1">
        <f t="shared" si="93"/>
        <v>0.25071549871124627</v>
      </c>
      <c r="F153" s="1">
        <f t="shared" si="94"/>
        <v>3.5502488856787709E-2</v>
      </c>
      <c r="G153" s="1">
        <f t="shared" si="95"/>
        <v>7.0769840442818477E-2</v>
      </c>
      <c r="H153" s="1">
        <f t="shared" si="96"/>
        <v>0.56701271285906429</v>
      </c>
      <c r="I153" s="1">
        <f t="shared" si="97"/>
        <v>1</v>
      </c>
      <c r="J153" s="1">
        <v>0</v>
      </c>
      <c r="K153" s="1">
        <f t="shared" si="98"/>
        <v>-0.56701271285906429</v>
      </c>
      <c r="L153" s="1">
        <f t="shared" si="99"/>
        <v>-2.84317750160154E-2</v>
      </c>
      <c r="M153" s="1">
        <f t="shared" si="100"/>
        <v>-4.0260725039871796E-3</v>
      </c>
      <c r="N153" s="1">
        <f t="shared" si="101"/>
        <v>-8.0254798436171261E-3</v>
      </c>
    </row>
    <row r="154" spans="1:14" x14ac:dyDescent="0.25">
      <c r="A154" s="7">
        <v>1</v>
      </c>
      <c r="B154" s="7">
        <v>1</v>
      </c>
      <c r="C154" s="7">
        <v>0</v>
      </c>
      <c r="E154" s="1">
        <f t="shared" si="93"/>
        <v>0.22228372369523086</v>
      </c>
      <c r="F154" s="1">
        <f t="shared" si="94"/>
        <v>3.1476416352800532E-2</v>
      </c>
      <c r="G154" s="1">
        <f t="shared" si="95"/>
        <v>6.2744360599201354E-2</v>
      </c>
      <c r="H154" s="1">
        <f t="shared" si="96"/>
        <v>0.55590016135138209</v>
      </c>
      <c r="I154" s="1">
        <f t="shared" si="97"/>
        <v>1</v>
      </c>
      <c r="J154" s="1">
        <v>0</v>
      </c>
      <c r="K154" s="1">
        <f t="shared" si="98"/>
        <v>-0.55590016135138209</v>
      </c>
      <c r="L154" s="1">
        <f t="shared" si="99"/>
        <v>-2.4713511573592976E-2</v>
      </c>
      <c r="M154" s="1">
        <f t="shared" si="100"/>
        <v>-3.4995489858570196E-3</v>
      </c>
      <c r="N154" s="1">
        <f t="shared" si="101"/>
        <v>-6.9759200361970679E-3</v>
      </c>
    </row>
    <row r="155" spans="1:14" x14ac:dyDescent="0.25">
      <c r="A155" s="7">
        <v>1</v>
      </c>
      <c r="B155" s="7">
        <v>1</v>
      </c>
      <c r="C155" s="7">
        <v>0</v>
      </c>
      <c r="E155" s="1">
        <f t="shared" si="93"/>
        <v>0.19757021212163789</v>
      </c>
      <c r="F155" s="1">
        <f t="shared" si="94"/>
        <v>2.7976867366943513E-2</v>
      </c>
      <c r="G155" s="1">
        <f t="shared" si="95"/>
        <v>5.5768440563004285E-2</v>
      </c>
      <c r="H155" s="1">
        <f t="shared" si="96"/>
        <v>0.5460765177802801</v>
      </c>
      <c r="I155" s="1">
        <f t="shared" si="97"/>
        <v>1</v>
      </c>
      <c r="J155" s="1">
        <v>0</v>
      </c>
      <c r="K155" s="1">
        <f t="shared" si="98"/>
        <v>-0.5460765177802801</v>
      </c>
      <c r="L155" s="1">
        <f t="shared" si="99"/>
        <v>-2.1577690690499061E-2</v>
      </c>
      <c r="M155" s="1">
        <f t="shared" si="100"/>
        <v>-3.0555020620282539E-3</v>
      </c>
      <c r="N155" s="1">
        <f t="shared" si="101"/>
        <v>-6.0907671649363809E-3</v>
      </c>
    </row>
    <row r="156" spans="1:14" x14ac:dyDescent="0.25">
      <c r="A156" s="7">
        <v>1</v>
      </c>
      <c r="B156" s="7">
        <v>1</v>
      </c>
      <c r="C156" s="7">
        <v>0</v>
      </c>
      <c r="E156" s="1">
        <f t="shared" si="93"/>
        <v>0.17599252143113883</v>
      </c>
      <c r="F156" s="1">
        <f t="shared" si="94"/>
        <v>2.4921365304915261E-2</v>
      </c>
      <c r="G156" s="1">
        <f t="shared" si="95"/>
        <v>4.9677673398067904E-2</v>
      </c>
      <c r="H156" s="1">
        <f t="shared" si="96"/>
        <v>0.53737463794204832</v>
      </c>
      <c r="I156" s="1">
        <f t="shared" si="97"/>
        <v>1</v>
      </c>
      <c r="J156" s="1">
        <v>0</v>
      </c>
      <c r="K156" s="1">
        <f t="shared" si="98"/>
        <v>-0.53737463794204832</v>
      </c>
      <c r="L156" s="1">
        <f t="shared" si="99"/>
        <v>-1.8914783496913282E-2</v>
      </c>
      <c r="M156" s="1">
        <f t="shared" si="100"/>
        <v>-2.678421931550073E-3</v>
      </c>
      <c r="N156" s="1">
        <f t="shared" si="101"/>
        <v>-5.3391043512180138E-3</v>
      </c>
    </row>
    <row r="157" spans="1:14" x14ac:dyDescent="0.25">
      <c r="A157" s="7">
        <v>1</v>
      </c>
      <c r="B157" s="7">
        <v>1</v>
      </c>
      <c r="C157" s="7">
        <v>0</v>
      </c>
      <c r="E157" s="1">
        <f t="shared" si="93"/>
        <v>0.15707773793422555</v>
      </c>
      <c r="F157" s="1">
        <f t="shared" si="94"/>
        <v>2.2242943373365187E-2</v>
      </c>
      <c r="G157" s="1">
        <f t="shared" si="95"/>
        <v>4.4338569046849893E-2</v>
      </c>
      <c r="H157" s="1">
        <f t="shared" si="96"/>
        <v>0.52965127694382486</v>
      </c>
      <c r="I157" s="1">
        <f t="shared" si="97"/>
        <v>1</v>
      </c>
      <c r="J157" s="1">
        <v>0</v>
      </c>
      <c r="K157" s="1">
        <f t="shared" si="98"/>
        <v>-0.52965127694382486</v>
      </c>
      <c r="L157" s="1">
        <f t="shared" si="99"/>
        <v>-1.6639284895262008E-2</v>
      </c>
      <c r="M157" s="1">
        <f t="shared" si="100"/>
        <v>-2.3562006721384119E-3</v>
      </c>
      <c r="N157" s="1">
        <f t="shared" si="101"/>
        <v>-4.6967959427051988E-3</v>
      </c>
    </row>
    <row r="158" spans="1:14" x14ac:dyDescent="0.25">
      <c r="A158" s="7">
        <v>1</v>
      </c>
      <c r="B158" s="7">
        <v>1</v>
      </c>
      <c r="C158" s="7">
        <v>0</v>
      </c>
      <c r="E158" s="1">
        <f t="shared" si="93"/>
        <v>0.14043845303896355</v>
      </c>
      <c r="F158" s="1">
        <f t="shared" si="94"/>
        <v>1.9886742701226777E-2</v>
      </c>
      <c r="G158" s="1">
        <f t="shared" si="95"/>
        <v>3.9641773104144698E-2</v>
      </c>
      <c r="H158" s="1">
        <f t="shared" si="96"/>
        <v>0.52278359916415573</v>
      </c>
      <c r="I158" s="1">
        <f t="shared" si="97"/>
        <v>1</v>
      </c>
      <c r="J158" s="1">
        <v>0</v>
      </c>
      <c r="K158" s="1">
        <f t="shared" si="98"/>
        <v>-0.52278359916415573</v>
      </c>
      <c r="L158" s="1">
        <f t="shared" si="99"/>
        <v>-1.4683783988151126E-2</v>
      </c>
      <c r="M158" s="1">
        <f t="shared" si="100"/>
        <v>-2.0792925849997682E-3</v>
      </c>
      <c r="N158" s="1">
        <f t="shared" si="101"/>
        <v>-4.1448137641267192E-3</v>
      </c>
    </row>
    <row r="159" spans="1:14" x14ac:dyDescent="0.25">
      <c r="A159" s="7">
        <v>1</v>
      </c>
      <c r="B159" s="7">
        <v>1</v>
      </c>
      <c r="C159" s="7">
        <v>0</v>
      </c>
      <c r="E159" s="1">
        <f t="shared" ref="E159:E183" si="102">E158+L158</f>
        <v>0.12575466905081242</v>
      </c>
      <c r="F159" s="1">
        <f t="shared" ref="F159:F183" si="103">F158+M158</f>
        <v>1.780745011622701E-2</v>
      </c>
      <c r="G159" s="1">
        <f t="shared" ref="G159:G183" si="104">G158+N158</f>
        <v>3.5496959340017981E-2</v>
      </c>
      <c r="H159" s="1">
        <f t="shared" ref="H159:H183" si="105">sigmoid((E159*A159)+(F159*B159)+(G159*C159)+$P$2)</f>
        <v>0.51666609584951417</v>
      </c>
      <c r="I159" s="1">
        <f t="shared" ref="I159:I183" si="106">ROUND(H159,0)</f>
        <v>1</v>
      </c>
      <c r="J159" s="1">
        <v>0</v>
      </c>
      <c r="K159" s="1">
        <f t="shared" ref="K159:K183" si="107">J159-H159</f>
        <v>-0.51666609584951417</v>
      </c>
      <c r="L159" s="1">
        <f t="shared" ref="L159:L183" si="108">$O$2*E159*$K159</f>
        <v>-1.2994634778666197E-2</v>
      </c>
      <c r="M159" s="1">
        <f t="shared" ref="M159:M183" si="109">$O$2*F159*$K159</f>
        <v>-1.8401011457171974E-3</v>
      </c>
      <c r="N159" s="1">
        <f t="shared" ref="N159:N183" si="110">$O$2*G159*$K159</f>
        <v>-3.6680150793472074E-3</v>
      </c>
    </row>
    <row r="160" spans="1:14" x14ac:dyDescent="0.25">
      <c r="A160" s="7">
        <v>1</v>
      </c>
      <c r="B160" s="7">
        <v>1</v>
      </c>
      <c r="C160" s="7">
        <v>0</v>
      </c>
      <c r="E160" s="1">
        <f t="shared" si="102"/>
        <v>0.11276003427214623</v>
      </c>
      <c r="F160" s="1">
        <f t="shared" si="103"/>
        <v>1.5967348970509811E-2</v>
      </c>
      <c r="G160" s="1">
        <f t="shared" si="104"/>
        <v>3.1828944260670775E-2</v>
      </c>
      <c r="H160" s="1">
        <f t="shared" si="105"/>
        <v>0.51120793144232446</v>
      </c>
      <c r="I160" s="1">
        <f t="shared" si="106"/>
        <v>1</v>
      </c>
      <c r="J160" s="1">
        <v>0</v>
      </c>
      <c r="K160" s="1">
        <f t="shared" si="107"/>
        <v>-0.51120793144232446</v>
      </c>
      <c r="L160" s="1">
        <f t="shared" si="108"/>
        <v>-1.1528764773925899E-2</v>
      </c>
      <c r="M160" s="1">
        <f t="shared" si="109"/>
        <v>-1.6325270875664098E-3</v>
      </c>
      <c r="N160" s="1">
        <f t="shared" si="110"/>
        <v>-3.2542417510981105E-3</v>
      </c>
    </row>
    <row r="161" spans="1:14" x14ac:dyDescent="0.25">
      <c r="A161" s="7">
        <v>1</v>
      </c>
      <c r="B161" s="7">
        <v>1</v>
      </c>
      <c r="C161" s="7">
        <v>0</v>
      </c>
      <c r="E161" s="1">
        <f t="shared" si="102"/>
        <v>0.10123126949822034</v>
      </c>
      <c r="F161" s="1">
        <f t="shared" si="103"/>
        <v>1.43348218829434E-2</v>
      </c>
      <c r="G161" s="1">
        <f t="shared" si="104"/>
        <v>2.8574702509572662E-2</v>
      </c>
      <c r="H161" s="1">
        <f t="shared" si="105"/>
        <v>0.50633069205543146</v>
      </c>
      <c r="I161" s="1">
        <f t="shared" si="106"/>
        <v>1</v>
      </c>
      <c r="J161" s="1">
        <v>0</v>
      </c>
      <c r="K161" s="1">
        <f t="shared" si="107"/>
        <v>-0.50633069205543146</v>
      </c>
      <c r="L161" s="1">
        <f t="shared" si="108"/>
        <v>-1.0251299748536761E-2</v>
      </c>
      <c r="M161" s="1">
        <f t="shared" si="109"/>
        <v>-1.4516320568964149E-3</v>
      </c>
      <c r="N161" s="1">
        <f t="shared" si="110"/>
        <v>-2.8936497793899999E-3</v>
      </c>
    </row>
    <row r="162" spans="1:14" x14ac:dyDescent="0.25">
      <c r="A162" s="7">
        <v>1</v>
      </c>
      <c r="B162" s="7">
        <v>1</v>
      </c>
      <c r="C162" s="7">
        <v>0</v>
      </c>
      <c r="E162" s="1">
        <f t="shared" si="102"/>
        <v>9.0979969749683573E-2</v>
      </c>
      <c r="F162" s="1">
        <f t="shared" si="103"/>
        <v>1.2883189826046986E-2</v>
      </c>
      <c r="G162" s="1">
        <f t="shared" si="104"/>
        <v>2.5681052730182664E-2</v>
      </c>
      <c r="H162" s="1">
        <f t="shared" si="105"/>
        <v>0.50196649062497489</v>
      </c>
      <c r="I162" s="1">
        <f t="shared" si="106"/>
        <v>1</v>
      </c>
      <c r="J162" s="1">
        <v>0</v>
      </c>
      <c r="K162" s="1">
        <f t="shared" si="107"/>
        <v>-0.50196649062497489</v>
      </c>
      <c r="L162" s="1">
        <f t="shared" si="108"/>
        <v>-9.1337792264830093E-3</v>
      </c>
      <c r="M162" s="1">
        <f t="shared" si="109"/>
        <v>-1.2933859170072373E-3</v>
      </c>
      <c r="N162" s="1">
        <f t="shared" si="110"/>
        <v>-2.5782055829049444E-3</v>
      </c>
    </row>
    <row r="163" spans="1:14" x14ac:dyDescent="0.25">
      <c r="A163" s="7">
        <v>1</v>
      </c>
      <c r="B163" s="7">
        <v>1</v>
      </c>
      <c r="C163" s="7">
        <v>0</v>
      </c>
      <c r="E163" s="1">
        <f t="shared" si="102"/>
        <v>8.1846190523200565E-2</v>
      </c>
      <c r="F163" s="1">
        <f t="shared" si="103"/>
        <v>1.1589803909039749E-2</v>
      </c>
      <c r="G163" s="1">
        <f t="shared" si="104"/>
        <v>2.3102847147277721E-2</v>
      </c>
      <c r="H163" s="1">
        <f t="shared" si="105"/>
        <v>0.49805637881254539</v>
      </c>
      <c r="I163" s="1">
        <f t="shared" si="106"/>
        <v>0</v>
      </c>
      <c r="J163" s="1">
        <v>0</v>
      </c>
      <c r="K163" s="1">
        <f t="shared" si="107"/>
        <v>-0.49805637881254539</v>
      </c>
      <c r="L163" s="1">
        <f t="shared" si="108"/>
        <v>-8.1528034543173894E-3</v>
      </c>
      <c r="M163" s="1">
        <f t="shared" si="109"/>
        <v>-1.1544751532167642E-3</v>
      </c>
      <c r="N163" s="1">
        <f t="shared" si="110"/>
        <v>-2.3013040780865772E-3</v>
      </c>
    </row>
    <row r="164" spans="1:14" x14ac:dyDescent="0.25">
      <c r="A164" s="7">
        <v>1</v>
      </c>
      <c r="B164" s="7">
        <v>1</v>
      </c>
      <c r="C164" s="7">
        <v>0</v>
      </c>
      <c r="E164" s="1">
        <f t="shared" si="102"/>
        <v>7.3693387068883176E-2</v>
      </c>
      <c r="F164" s="1">
        <f t="shared" si="103"/>
        <v>1.0435328755822985E-2</v>
      </c>
      <c r="G164" s="1">
        <f t="shared" si="104"/>
        <v>2.0801543069191145E-2</v>
      </c>
      <c r="H164" s="1">
        <f t="shared" si="105"/>
        <v>0.49454901804932339</v>
      </c>
      <c r="I164" s="1">
        <f t="shared" si="106"/>
        <v>0</v>
      </c>
      <c r="J164" s="1">
        <v>0</v>
      </c>
      <c r="K164" s="1">
        <f t="shared" si="107"/>
        <v>-0.49454901804932339</v>
      </c>
      <c r="L164" s="1">
        <f t="shared" si="108"/>
        <v>-7.2889984423289769E-3</v>
      </c>
      <c r="M164" s="1">
        <f t="shared" si="109"/>
        <v>-1.032156317842825E-3</v>
      </c>
      <c r="N164" s="1">
        <f t="shared" si="110"/>
        <v>-2.057476539755838E-3</v>
      </c>
    </row>
    <row r="165" spans="1:14" x14ac:dyDescent="0.25">
      <c r="A165" s="7">
        <v>1</v>
      </c>
      <c r="B165" s="7">
        <v>1</v>
      </c>
      <c r="C165" s="7">
        <v>0</v>
      </c>
      <c r="E165" s="1">
        <f t="shared" si="102"/>
        <v>6.6404388626554206E-2</v>
      </c>
      <c r="F165" s="1">
        <f t="shared" si="103"/>
        <v>9.4031724379801604E-3</v>
      </c>
      <c r="G165" s="1">
        <f t="shared" si="104"/>
        <v>1.8744066529435305E-2</v>
      </c>
      <c r="H165" s="1">
        <f t="shared" si="105"/>
        <v>0.49139956723910144</v>
      </c>
      <c r="I165" s="1">
        <f t="shared" si="106"/>
        <v>0</v>
      </c>
      <c r="J165" s="1">
        <v>0</v>
      </c>
      <c r="K165" s="1">
        <f t="shared" si="107"/>
        <v>-0.49139956723910144</v>
      </c>
      <c r="L165" s="1">
        <f t="shared" si="108"/>
        <v>-6.52621756677317E-3</v>
      </c>
      <c r="M165" s="1">
        <f t="shared" si="109"/>
        <v>-9.2414297333961949E-4</v>
      </c>
      <c r="N165" s="1">
        <f t="shared" si="110"/>
        <v>-1.8421652361730869E-3</v>
      </c>
    </row>
    <row r="166" spans="1:14" x14ac:dyDescent="0.25">
      <c r="A166" s="7">
        <v>1</v>
      </c>
      <c r="B166" s="7">
        <v>1</v>
      </c>
      <c r="C166" s="7">
        <v>0</v>
      </c>
      <c r="E166" s="1">
        <f t="shared" si="102"/>
        <v>5.9878171059781035E-2</v>
      </c>
      <c r="F166" s="1">
        <f t="shared" si="103"/>
        <v>8.4790294646405404E-3</v>
      </c>
      <c r="G166" s="1">
        <f t="shared" si="104"/>
        <v>1.6901901293262217E-2</v>
      </c>
      <c r="H166" s="1">
        <f t="shared" si="105"/>
        <v>0.48856875055349036</v>
      </c>
      <c r="I166" s="1">
        <f t="shared" si="106"/>
        <v>0</v>
      </c>
      <c r="J166" s="1">
        <v>0</v>
      </c>
      <c r="K166" s="1">
        <f t="shared" si="107"/>
        <v>-0.48856875055349036</v>
      </c>
      <c r="L166" s="1">
        <f t="shared" si="108"/>
        <v>-5.8509206440210777E-3</v>
      </c>
      <c r="M166" s="1">
        <f t="shared" si="109"/>
        <v>-8.2851776628913183E-4</v>
      </c>
      <c r="N166" s="1">
        <f t="shared" si="110"/>
        <v>-1.6515481593655089E-3</v>
      </c>
    </row>
    <row r="167" spans="1:14" x14ac:dyDescent="0.25">
      <c r="A167" s="7">
        <v>1</v>
      </c>
      <c r="B167" s="7">
        <v>1</v>
      </c>
      <c r="C167" s="7">
        <v>0</v>
      </c>
      <c r="E167" s="1">
        <f t="shared" si="102"/>
        <v>5.402725041575996E-2</v>
      </c>
      <c r="F167" s="1">
        <f t="shared" si="103"/>
        <v>7.6505116983514084E-3</v>
      </c>
      <c r="G167" s="1">
        <f t="shared" si="104"/>
        <v>1.5250353133896707E-2</v>
      </c>
      <c r="H167" s="1">
        <f t="shared" si="105"/>
        <v>0.48602207450069229</v>
      </c>
      <c r="I167" s="1">
        <f t="shared" si="106"/>
        <v>0</v>
      </c>
      <c r="J167" s="1">
        <v>0</v>
      </c>
      <c r="K167" s="1">
        <f t="shared" si="107"/>
        <v>-0.48602207450069229</v>
      </c>
      <c r="L167" s="1">
        <f t="shared" si="108"/>
        <v>-5.2516872653272095E-3</v>
      </c>
      <c r="M167" s="1">
        <f t="shared" si="109"/>
        <v>-7.4366351332491327E-4</v>
      </c>
      <c r="N167" s="1">
        <f t="shared" si="110"/>
        <v>-1.4824016534009225E-3</v>
      </c>
    </row>
    <row r="168" spans="1:14" x14ac:dyDescent="0.25">
      <c r="A168" s="7">
        <v>1</v>
      </c>
      <c r="B168" s="7">
        <v>1</v>
      </c>
      <c r="C168" s="7">
        <v>0</v>
      </c>
      <c r="E168" s="1">
        <f t="shared" si="102"/>
        <v>4.8775563150432751E-2</v>
      </c>
      <c r="F168" s="1">
        <f t="shared" si="103"/>
        <v>6.9068481850264951E-3</v>
      </c>
      <c r="G168" s="1">
        <f t="shared" si="104"/>
        <v>1.3767951480495784E-2</v>
      </c>
      <c r="H168" s="1">
        <f t="shared" si="105"/>
        <v>0.48372916861844012</v>
      </c>
      <c r="I168" s="1">
        <f t="shared" si="106"/>
        <v>0</v>
      </c>
      <c r="J168" s="1">
        <v>0</v>
      </c>
      <c r="K168" s="1">
        <f t="shared" si="107"/>
        <v>-0.48372916861844012</v>
      </c>
      <c r="L168" s="1">
        <f t="shared" si="108"/>
        <v>-4.7188325223310118E-3</v>
      </c>
      <c r="M168" s="1">
        <f t="shared" si="109"/>
        <v>-6.6820878606332977E-4</v>
      </c>
      <c r="N168" s="1">
        <f t="shared" si="110"/>
        <v>-1.3319919446478496E-3</v>
      </c>
    </row>
    <row r="169" spans="1:14" x14ac:dyDescent="0.25">
      <c r="A169" s="7">
        <v>1</v>
      </c>
      <c r="B169" s="7">
        <v>1</v>
      </c>
      <c r="C169" s="7">
        <v>0</v>
      </c>
      <c r="E169" s="1">
        <f t="shared" si="102"/>
        <v>4.405673062810174E-2</v>
      </c>
      <c r="F169" s="1">
        <f t="shared" si="103"/>
        <v>6.2386393989631653E-3</v>
      </c>
      <c r="G169" s="1">
        <f t="shared" si="104"/>
        <v>1.2435959535847935E-2</v>
      </c>
      <c r="H169" s="1">
        <f t="shared" si="105"/>
        <v>0.48166322860156796</v>
      </c>
      <c r="I169" s="1">
        <f t="shared" si="106"/>
        <v>0</v>
      </c>
      <c r="J169" s="1">
        <v>0</v>
      </c>
      <c r="K169" s="1">
        <f t="shared" si="107"/>
        <v>-0.48166322860156796</v>
      </c>
      <c r="L169" s="1">
        <f t="shared" si="108"/>
        <v>-4.244101423192214E-3</v>
      </c>
      <c r="M169" s="1">
        <f t="shared" si="109"/>
        <v>-6.0098463899710874E-4</v>
      </c>
      <c r="N169" s="1">
        <f t="shared" si="110"/>
        <v>-1.1979888841589948E-3</v>
      </c>
    </row>
    <row r="170" spans="1:14" x14ac:dyDescent="0.25">
      <c r="A170" s="7">
        <v>1</v>
      </c>
      <c r="B170" s="7">
        <v>1</v>
      </c>
      <c r="C170" s="7">
        <v>0</v>
      </c>
      <c r="E170" s="1">
        <f t="shared" si="102"/>
        <v>3.9812629204909522E-2</v>
      </c>
      <c r="F170" s="1">
        <f t="shared" si="103"/>
        <v>5.6376547599660569E-3</v>
      </c>
      <c r="G170" s="1">
        <f t="shared" si="104"/>
        <v>1.1237970651688941E-2</v>
      </c>
      <c r="H170" s="1">
        <f t="shared" si="105"/>
        <v>0.47980054443055109</v>
      </c>
      <c r="I170" s="1">
        <f t="shared" si="106"/>
        <v>0</v>
      </c>
      <c r="J170" s="1">
        <v>0</v>
      </c>
      <c r="K170" s="1">
        <f t="shared" si="107"/>
        <v>-0.47980054443055109</v>
      </c>
      <c r="L170" s="1">
        <f t="shared" si="108"/>
        <v>-3.8204242335454501E-3</v>
      </c>
      <c r="M170" s="1">
        <f t="shared" si="109"/>
        <v>-5.4098996462864039E-4</v>
      </c>
      <c r="N170" s="1">
        <f t="shared" si="110"/>
        <v>-1.0783968873949818E-3</v>
      </c>
    </row>
    <row r="171" spans="1:14" x14ac:dyDescent="0.25">
      <c r="A171" s="7">
        <v>1</v>
      </c>
      <c r="B171" s="7">
        <v>1</v>
      </c>
      <c r="C171" s="7">
        <v>0</v>
      </c>
      <c r="E171" s="1">
        <f t="shared" si="102"/>
        <v>3.5992204971364072E-2</v>
      </c>
      <c r="F171" s="1">
        <f t="shared" si="103"/>
        <v>5.0966647953374165E-3</v>
      </c>
      <c r="G171" s="1">
        <f t="shared" si="104"/>
        <v>1.015957376429396E-2</v>
      </c>
      <c r="H171" s="1">
        <f t="shared" si="105"/>
        <v>0.47812009918426934</v>
      </c>
      <c r="I171" s="1">
        <f t="shared" si="106"/>
        <v>0</v>
      </c>
      <c r="J171" s="1">
        <v>0</v>
      </c>
      <c r="K171" s="1">
        <f t="shared" si="107"/>
        <v>-0.47812009918426934</v>
      </c>
      <c r="L171" s="1">
        <f t="shared" si="108"/>
        <v>-3.4417193221538286E-3</v>
      </c>
      <c r="M171" s="1">
        <f t="shared" si="109"/>
        <v>-4.8736357549113992E-4</v>
      </c>
      <c r="N171" s="1">
        <f t="shared" si="110"/>
        <v>-9.7149928317082567E-4</v>
      </c>
    </row>
    <row r="172" spans="1:14" x14ac:dyDescent="0.25">
      <c r="A172" s="7">
        <v>1</v>
      </c>
      <c r="B172" s="7">
        <v>1</v>
      </c>
      <c r="C172" s="7">
        <v>0</v>
      </c>
      <c r="E172" s="1">
        <f t="shared" si="102"/>
        <v>3.2550485649210245E-2</v>
      </c>
      <c r="F172" s="1">
        <f t="shared" si="103"/>
        <v>4.6093012198462763E-3</v>
      </c>
      <c r="G172" s="1">
        <f t="shared" si="104"/>
        <v>9.1880744811231336E-3</v>
      </c>
      <c r="H172" s="1">
        <f t="shared" si="105"/>
        <v>0.4766032267839152</v>
      </c>
      <c r="I172" s="1">
        <f t="shared" si="106"/>
        <v>0</v>
      </c>
      <c r="J172" s="1">
        <v>0</v>
      </c>
      <c r="K172" s="1">
        <f t="shared" si="107"/>
        <v>-0.4766032267839152</v>
      </c>
      <c r="L172" s="1">
        <f t="shared" si="108"/>
        <v>-3.1027332987594259E-3</v>
      </c>
      <c r="M172" s="1">
        <f t="shared" si="109"/>
        <v>-4.3936156691955442E-4</v>
      </c>
      <c r="N172" s="1">
        <f t="shared" si="110"/>
        <v>-8.7581318912684659E-4</v>
      </c>
    </row>
    <row r="173" spans="1:14" x14ac:dyDescent="0.25">
      <c r="A173" s="7">
        <v>1</v>
      </c>
      <c r="B173" s="7">
        <v>1</v>
      </c>
      <c r="C173" s="7">
        <v>0</v>
      </c>
      <c r="E173" s="1">
        <f t="shared" si="102"/>
        <v>2.9447752350450818E-2</v>
      </c>
      <c r="F173" s="1">
        <f t="shared" si="103"/>
        <v>4.1699396529267215E-3</v>
      </c>
      <c r="G173" s="1">
        <f t="shared" si="104"/>
        <v>8.3122612919962861E-3</v>
      </c>
      <c r="H173" s="1">
        <f t="shared" si="105"/>
        <v>0.47523331901249805</v>
      </c>
      <c r="I173" s="1">
        <f t="shared" si="106"/>
        <v>0</v>
      </c>
      <c r="J173" s="1">
        <v>0</v>
      </c>
      <c r="K173" s="1">
        <f t="shared" si="107"/>
        <v>-0.47523331901249805</v>
      </c>
      <c r="L173" s="1">
        <f t="shared" si="108"/>
        <v>-2.7989106173925667E-3</v>
      </c>
      <c r="M173" s="1">
        <f t="shared" si="109"/>
        <v>-3.9633885226843805E-4</v>
      </c>
      <c r="N173" s="1">
        <f t="shared" si="110"/>
        <v>-7.9005270445890209E-4</v>
      </c>
    </row>
    <row r="174" spans="1:14" x14ac:dyDescent="0.25">
      <c r="A174" s="7">
        <v>1</v>
      </c>
      <c r="B174" s="7">
        <v>1</v>
      </c>
      <c r="C174" s="7">
        <v>0</v>
      </c>
      <c r="E174" s="1">
        <f t="shared" si="102"/>
        <v>2.6648841733058252E-2</v>
      </c>
      <c r="F174" s="1">
        <f t="shared" si="103"/>
        <v>3.7736008006582834E-3</v>
      </c>
      <c r="G174" s="1">
        <f t="shared" si="104"/>
        <v>7.522208587537384E-3</v>
      </c>
      <c r="H174" s="1">
        <f t="shared" si="105"/>
        <v>0.47399557386572277</v>
      </c>
      <c r="I174" s="1">
        <f t="shared" si="106"/>
        <v>0</v>
      </c>
      <c r="J174" s="1">
        <v>0</v>
      </c>
      <c r="K174" s="1">
        <f t="shared" si="107"/>
        <v>-0.47399557386572277</v>
      </c>
      <c r="L174" s="1">
        <f t="shared" si="108"/>
        <v>-2.5262866060235542E-3</v>
      </c>
      <c r="M174" s="1">
        <f t="shared" si="109"/>
        <v>-3.5773401540963479E-4</v>
      </c>
      <c r="N174" s="1">
        <f t="shared" si="110"/>
        <v>-7.1309871523749012E-4</v>
      </c>
    </row>
    <row r="175" spans="1:14" x14ac:dyDescent="0.25">
      <c r="A175" s="7">
        <v>1</v>
      </c>
      <c r="B175" s="7">
        <v>1</v>
      </c>
      <c r="C175" s="7">
        <v>0</v>
      </c>
      <c r="E175" s="1">
        <f t="shared" si="102"/>
        <v>2.4122555127034699E-2</v>
      </c>
      <c r="F175" s="1">
        <f t="shared" si="103"/>
        <v>3.4158667852486487E-3</v>
      </c>
      <c r="G175" s="1">
        <f t="shared" si="104"/>
        <v>6.8091098722998936E-3</v>
      </c>
      <c r="H175" s="1">
        <f t="shared" si="105"/>
        <v>0.47287677868465339</v>
      </c>
      <c r="I175" s="1">
        <f t="shared" si="106"/>
        <v>0</v>
      </c>
      <c r="J175" s="1">
        <v>0</v>
      </c>
      <c r="K175" s="1">
        <f t="shared" si="107"/>
        <v>-0.47287677868465339</v>
      </c>
      <c r="L175" s="1">
        <f t="shared" si="108"/>
        <v>-2.2813992324230278E-3</v>
      </c>
      <c r="M175" s="1">
        <f t="shared" si="109"/>
        <v>-3.2305681636485674E-4</v>
      </c>
      <c r="N175" s="1">
        <f t="shared" si="110"/>
        <v>-6.4397398842460914E-4</v>
      </c>
    </row>
    <row r="176" spans="1:14" x14ac:dyDescent="0.25">
      <c r="A176" s="7">
        <v>1</v>
      </c>
      <c r="B176" s="7">
        <v>1</v>
      </c>
      <c r="C176" s="7">
        <v>0</v>
      </c>
      <c r="E176" s="1">
        <f t="shared" si="102"/>
        <v>2.184115589461167E-2</v>
      </c>
      <c r="F176" s="1">
        <f t="shared" si="103"/>
        <v>3.092809968883792E-3</v>
      </c>
      <c r="G176" s="1">
        <f t="shared" si="104"/>
        <v>6.1651358838752841E-3</v>
      </c>
      <c r="H176" s="1">
        <f t="shared" si="105"/>
        <v>0.47186512265716957</v>
      </c>
      <c r="I176" s="1">
        <f t="shared" si="106"/>
        <v>0</v>
      </c>
      <c r="J176" s="1">
        <v>0</v>
      </c>
      <c r="K176" s="1">
        <f t="shared" si="107"/>
        <v>-0.47186512265716957</v>
      </c>
      <c r="L176" s="1">
        <f t="shared" si="108"/>
        <v>-2.0612159410370598E-3</v>
      </c>
      <c r="M176" s="1">
        <f t="shared" si="109"/>
        <v>-2.918778310645335E-4</v>
      </c>
      <c r="N176" s="1">
        <f t="shared" si="110"/>
        <v>-5.8182252000858574E-4</v>
      </c>
    </row>
    <row r="177" spans="1:14" x14ac:dyDescent="0.25">
      <c r="A177" s="7">
        <v>1</v>
      </c>
      <c r="B177" s="7">
        <v>1</v>
      </c>
      <c r="C177" s="7">
        <v>0</v>
      </c>
      <c r="E177" s="1">
        <f t="shared" si="102"/>
        <v>1.9779939953574611E-2</v>
      </c>
      <c r="F177" s="1">
        <f t="shared" si="103"/>
        <v>2.8009321378192585E-3</v>
      </c>
      <c r="G177" s="1">
        <f t="shared" si="104"/>
        <v>5.5833133638666984E-3</v>
      </c>
      <c r="H177" s="1">
        <f t="shared" si="105"/>
        <v>0.4709500342023446</v>
      </c>
      <c r="I177" s="1">
        <f t="shared" si="106"/>
        <v>0</v>
      </c>
      <c r="J177" s="1">
        <v>0</v>
      </c>
      <c r="K177" s="1">
        <f t="shared" si="107"/>
        <v>-0.4709500342023446</v>
      </c>
      <c r="L177" s="1">
        <f t="shared" si="108"/>
        <v>-1.8630726795312573E-3</v>
      </c>
      <c r="M177" s="1">
        <f t="shared" si="109"/>
        <v>-2.6381981722088519E-4</v>
      </c>
      <c r="N177" s="1">
        <f t="shared" si="110"/>
        <v>-5.2589232393508581E-4</v>
      </c>
    </row>
    <row r="178" spans="1:14" x14ac:dyDescent="0.25">
      <c r="A178" s="7">
        <v>1</v>
      </c>
      <c r="B178" s="7">
        <v>1</v>
      </c>
      <c r="C178" s="7">
        <v>0</v>
      </c>
      <c r="E178" s="1">
        <f t="shared" si="102"/>
        <v>1.7916867274043353E-2</v>
      </c>
      <c r="F178" s="1">
        <f t="shared" si="103"/>
        <v>2.5371123205983732E-3</v>
      </c>
      <c r="G178" s="1">
        <f t="shared" si="104"/>
        <v>5.057421039931613E-3</v>
      </c>
      <c r="H178" s="1">
        <f t="shared" si="105"/>
        <v>0.47012203950926418</v>
      </c>
      <c r="I178" s="1">
        <f t="shared" si="106"/>
        <v>0</v>
      </c>
      <c r="J178" s="1">
        <v>0</v>
      </c>
      <c r="K178" s="1">
        <f t="shared" si="107"/>
        <v>-0.47012203950926418</v>
      </c>
      <c r="L178" s="1">
        <f t="shared" si="108"/>
        <v>-1.6846228368980103E-3</v>
      </c>
      <c r="M178" s="1">
        <f t="shared" si="109"/>
        <v>-2.3855048372475787E-4</v>
      </c>
      <c r="N178" s="1">
        <f t="shared" si="110"/>
        <v>-4.7552101878994276E-4</v>
      </c>
    </row>
    <row r="179" spans="1:14" x14ac:dyDescent="0.25">
      <c r="A179" s="7">
        <v>1</v>
      </c>
      <c r="B179" s="7">
        <v>1</v>
      </c>
      <c r="C179" s="7">
        <v>0</v>
      </c>
      <c r="E179" s="1">
        <f t="shared" si="102"/>
        <v>1.6232244437145344E-2</v>
      </c>
      <c r="F179" s="1">
        <f t="shared" si="103"/>
        <v>2.2985618368736153E-3</v>
      </c>
      <c r="G179" s="1">
        <f t="shared" si="104"/>
        <v>4.5819000211416699E-3</v>
      </c>
      <c r="H179" s="1">
        <f t="shared" si="105"/>
        <v>0.4693726391217361</v>
      </c>
      <c r="I179" s="1">
        <f t="shared" si="106"/>
        <v>0</v>
      </c>
      <c r="J179" s="1">
        <v>0</v>
      </c>
      <c r="K179" s="1">
        <f t="shared" si="107"/>
        <v>-0.4693726391217361</v>
      </c>
      <c r="L179" s="1">
        <f t="shared" si="108"/>
        <v>-1.523794282066406E-3</v>
      </c>
      <c r="M179" s="1">
        <f t="shared" si="109"/>
        <v>-2.1577640711157485E-4</v>
      </c>
      <c r="N179" s="1">
        <f t="shared" si="110"/>
        <v>-4.3012370102304081E-4</v>
      </c>
    </row>
    <row r="180" spans="1:14" x14ac:dyDescent="0.25">
      <c r="A180" s="4">
        <v>0</v>
      </c>
      <c r="B180" s="4">
        <v>1</v>
      </c>
      <c r="C180" s="4">
        <v>1</v>
      </c>
      <c r="E180" s="1">
        <f t="shared" si="102"/>
        <v>1.4708450155078937E-2</v>
      </c>
      <c r="F180" s="1">
        <f t="shared" si="103"/>
        <v>2.0827854297620404E-3</v>
      </c>
      <c r="G180" s="1">
        <f t="shared" si="104"/>
        <v>4.1517763201186289E-3</v>
      </c>
      <c r="H180" s="1">
        <f t="shared" si="105"/>
        <v>0.46456520128024881</v>
      </c>
      <c r="I180" s="1">
        <f t="shared" si="106"/>
        <v>0</v>
      </c>
      <c r="J180" s="1">
        <v>0</v>
      </c>
      <c r="K180" s="1">
        <f t="shared" si="107"/>
        <v>-0.46456520128024881</v>
      </c>
      <c r="L180" s="1">
        <f t="shared" si="108"/>
        <v>-1.3666068213629506E-3</v>
      </c>
      <c r="M180" s="1">
        <f t="shared" si="109"/>
        <v>-1.9351792648019436E-4</v>
      </c>
      <c r="N180" s="1">
        <f t="shared" si="110"/>
        <v>-3.8575416036529633E-4</v>
      </c>
    </row>
    <row r="181" spans="1:14" x14ac:dyDescent="0.25">
      <c r="A181" s="4">
        <v>0</v>
      </c>
      <c r="B181" s="4">
        <v>1</v>
      </c>
      <c r="C181" s="4">
        <v>1</v>
      </c>
      <c r="E181" s="1">
        <f t="shared" si="102"/>
        <v>1.3341843333715986E-2</v>
      </c>
      <c r="F181" s="1">
        <f t="shared" si="103"/>
        <v>1.8892675032818459E-3</v>
      </c>
      <c r="G181" s="1">
        <f t="shared" si="104"/>
        <v>3.7660221597533325E-3</v>
      </c>
      <c r="H181" s="1">
        <f t="shared" si="105"/>
        <v>0.46433804416829266</v>
      </c>
      <c r="I181" s="1">
        <f t="shared" si="106"/>
        <v>0</v>
      </c>
      <c r="J181" s="1">
        <v>0</v>
      </c>
      <c r="K181" s="1">
        <f t="shared" si="107"/>
        <v>-0.46433804416829266</v>
      </c>
      <c r="L181" s="1">
        <f t="shared" si="108"/>
        <v>-1.239025087835491E-3</v>
      </c>
      <c r="M181" s="1">
        <f t="shared" si="109"/>
        <v>-1.7545175547692117E-4</v>
      </c>
      <c r="N181" s="1">
        <f t="shared" si="110"/>
        <v>-3.4974147279086238E-4</v>
      </c>
    </row>
    <row r="182" spans="1:14" x14ac:dyDescent="0.25">
      <c r="A182" s="4">
        <v>0</v>
      </c>
      <c r="B182" s="4">
        <v>1</v>
      </c>
      <c r="C182" s="4">
        <v>1</v>
      </c>
      <c r="E182" s="1">
        <f t="shared" si="102"/>
        <v>1.2102818245880494E-2</v>
      </c>
      <c r="F182" s="1">
        <f t="shared" si="103"/>
        <v>1.7138157478049248E-3</v>
      </c>
      <c r="G182" s="1">
        <f t="shared" si="104"/>
        <v>3.4162806869624703E-3</v>
      </c>
      <c r="H182" s="1">
        <f t="shared" si="105"/>
        <v>0.46413204084868021</v>
      </c>
      <c r="I182" s="1">
        <f t="shared" si="106"/>
        <v>0</v>
      </c>
      <c r="J182" s="1">
        <v>0</v>
      </c>
      <c r="K182" s="1">
        <f t="shared" si="107"/>
        <v>-0.46413204084868021</v>
      </c>
      <c r="L182" s="1">
        <f t="shared" si="108"/>
        <v>-1.1234611464962315E-3</v>
      </c>
      <c r="M182" s="1">
        <f t="shared" si="109"/>
        <v>-1.5908736013346136E-4</v>
      </c>
      <c r="N182" s="1">
        <f t="shared" si="110"/>
        <v>-3.1712106547036455E-4</v>
      </c>
    </row>
    <row r="183" spans="1:14" x14ac:dyDescent="0.25">
      <c r="A183" s="4">
        <v>0</v>
      </c>
      <c r="B183" s="4">
        <v>1</v>
      </c>
      <c r="C183" s="4">
        <v>1</v>
      </c>
      <c r="E183" s="1">
        <f t="shared" si="102"/>
        <v>1.0979357099384263E-2</v>
      </c>
      <c r="F183" s="1">
        <f t="shared" si="103"/>
        <v>1.5547283876714635E-3</v>
      </c>
      <c r="G183" s="1">
        <f t="shared" si="104"/>
        <v>3.0991596214921058E-3</v>
      </c>
      <c r="H183" s="1">
        <f t="shared" si="105"/>
        <v>0.46394520805677225</v>
      </c>
      <c r="I183" s="1">
        <f t="shared" si="106"/>
        <v>0</v>
      </c>
      <c r="J183" s="1">
        <v>0</v>
      </c>
      <c r="K183" s="1">
        <f t="shared" si="107"/>
        <v>-0.46394520805677225</v>
      </c>
      <c r="L183" s="1">
        <f t="shared" si="108"/>
        <v>-1.0187640227606863E-3</v>
      </c>
      <c r="M183" s="1">
        <f t="shared" si="109"/>
        <v>-1.4426175705800146E-4</v>
      </c>
      <c r="N183" s="1">
        <f t="shared" si="110"/>
        <v>-2.8756805107886052E-4</v>
      </c>
    </row>
    <row r="184" spans="1:14" x14ac:dyDescent="0.25">
      <c r="A184" s="10">
        <v>1</v>
      </c>
      <c r="B184" s="10">
        <v>0</v>
      </c>
      <c r="C184" s="10">
        <v>0</v>
      </c>
      <c r="E184" s="1">
        <v>0.95148744146297404</v>
      </c>
      <c r="F184" s="1">
        <v>0.13473507805282492</v>
      </c>
      <c r="G184" s="1">
        <v>0.26857778941394084</v>
      </c>
      <c r="H184" s="1">
        <f>sigmoid((E184*A184)+(F184*B184)+(G184*C184)+$P$2)</f>
        <v>0.75121748321078818</v>
      </c>
      <c r="I184" s="1">
        <f>ROUND(H184,0)</f>
        <v>1</v>
      </c>
      <c r="J184" s="1">
        <v>1</v>
      </c>
      <c r="K184" s="1">
        <f>J184-H184</f>
        <v>0.24878251678921182</v>
      </c>
      <c r="L184" s="1">
        <f>$O$2*E184*$K184</f>
        <v>4.734268807609731E-2</v>
      </c>
      <c r="M184" s="1">
        <f>$O$2*F184*$K184</f>
        <v>6.703946363554536E-3</v>
      </c>
      <c r="N184" s="1">
        <f>$O$2*G184*$K184</f>
        <v>1.3363491680816627E-2</v>
      </c>
    </row>
    <row r="185" spans="1:14" x14ac:dyDescent="0.25">
      <c r="A185" s="9">
        <v>0</v>
      </c>
      <c r="B185" s="9">
        <v>1</v>
      </c>
      <c r="C185" s="9">
        <v>0</v>
      </c>
      <c r="E185" s="1">
        <f t="shared" ref="E185:E191" si="111">E184+L184</f>
        <v>0.99883012953907135</v>
      </c>
      <c r="F185" s="1">
        <f t="shared" ref="F185:F191" si="112">F184+M184</f>
        <v>0.14143902441637946</v>
      </c>
      <c r="G185" s="1">
        <f t="shared" ref="G185:G191" si="113">G184+N184</f>
        <v>0.28194128109475747</v>
      </c>
      <c r="H185" s="1">
        <f t="shared" ref="H185:H191" si="114">sigmoid((E185*A185)+(F185*B185)+(G185*C185)+$P$2)</f>
        <v>0.5158874952792788</v>
      </c>
      <c r="I185" s="1">
        <f t="shared" ref="I185:I191" si="115">ROUND(H185,0)</f>
        <v>1</v>
      </c>
      <c r="J185" s="1">
        <v>0</v>
      </c>
      <c r="K185" s="1">
        <f t="shared" ref="K185:K191" si="116">J185-H185</f>
        <v>-0.5158874952792788</v>
      </c>
      <c r="L185" s="1">
        <f t="shared" ref="L185:L191" si="117">$O$2*E185*$K185</f>
        <v>-0.10305679474747782</v>
      </c>
      <c r="M185" s="1">
        <f t="shared" ref="M185:M191" si="118">$O$2*F185*$K185</f>
        <v>-1.4593324808182153E-2</v>
      </c>
      <c r="N185" s="1">
        <f t="shared" ref="N185:N191" si="119">$O$2*G185*$K185</f>
        <v>-2.9089996263961103E-2</v>
      </c>
    </row>
    <row r="186" spans="1:14" x14ac:dyDescent="0.25">
      <c r="A186" s="8">
        <v>0</v>
      </c>
      <c r="B186" s="8">
        <v>0</v>
      </c>
      <c r="C186" s="8">
        <v>1</v>
      </c>
      <c r="E186" s="1">
        <f t="shared" si="111"/>
        <v>0.89577333479159349</v>
      </c>
      <c r="F186" s="1">
        <f t="shared" si="112"/>
        <v>0.1268456996081973</v>
      </c>
      <c r="G186" s="1">
        <f t="shared" si="113"/>
        <v>0.25285128483079639</v>
      </c>
      <c r="H186" s="1">
        <f t="shared" si="114"/>
        <v>0.55558608391020936</v>
      </c>
      <c r="I186" s="1">
        <f t="shared" si="115"/>
        <v>1</v>
      </c>
      <c r="J186" s="1">
        <v>1</v>
      </c>
      <c r="K186" s="1">
        <f t="shared" si="116"/>
        <v>0.44441391608979064</v>
      </c>
      <c r="L186" s="1">
        <f t="shared" si="117"/>
        <v>7.9618827128708644E-2</v>
      </c>
      <c r="M186" s="1">
        <f t="shared" si="118"/>
        <v>1.1274398820405637E-2</v>
      </c>
      <c r="N186" s="1">
        <f t="shared" si="119"/>
        <v>2.247412593599786E-2</v>
      </c>
    </row>
    <row r="187" spans="1:14" x14ac:dyDescent="0.25">
      <c r="A187" s="7">
        <v>1</v>
      </c>
      <c r="B187" s="7">
        <v>1</v>
      </c>
      <c r="C187" s="7">
        <v>0</v>
      </c>
      <c r="E187" s="1">
        <f t="shared" si="111"/>
        <v>0.97539216192030209</v>
      </c>
      <c r="F187" s="1">
        <f t="shared" si="112"/>
        <v>0.13812009842860296</v>
      </c>
      <c r="G187" s="1">
        <f t="shared" si="113"/>
        <v>0.27532541076679423</v>
      </c>
      <c r="H187" s="1">
        <f t="shared" si="114"/>
        <v>0.78441915739584112</v>
      </c>
      <c r="I187" s="1">
        <f t="shared" si="115"/>
        <v>1</v>
      </c>
      <c r="J187" s="1">
        <v>0</v>
      </c>
      <c r="K187" s="1">
        <f t="shared" si="116"/>
        <v>-0.78441915739584112</v>
      </c>
      <c r="L187" s="1">
        <f t="shared" si="117"/>
        <v>-0.15302325955680623</v>
      </c>
      <c r="M187" s="1">
        <f t="shared" si="118"/>
        <v>-2.1668810245759073E-2</v>
      </c>
      <c r="N187" s="1">
        <f t="shared" si="119"/>
        <v>-4.3194105344670518E-2</v>
      </c>
    </row>
    <row r="188" spans="1:14" x14ac:dyDescent="0.25">
      <c r="A188" s="6">
        <v>1</v>
      </c>
      <c r="B188" s="6">
        <v>0</v>
      </c>
      <c r="C188" s="6">
        <v>1</v>
      </c>
      <c r="E188" s="1">
        <f t="shared" si="111"/>
        <v>0.82236890236349591</v>
      </c>
      <c r="F188" s="1">
        <f t="shared" si="112"/>
        <v>0.11645128818284388</v>
      </c>
      <c r="G188" s="1">
        <f t="shared" si="113"/>
        <v>0.23213130542212371</v>
      </c>
      <c r="H188" s="1">
        <f t="shared" si="114"/>
        <v>0.77280310100204241</v>
      </c>
      <c r="I188" s="1">
        <f t="shared" si="115"/>
        <v>1</v>
      </c>
      <c r="J188" s="1">
        <v>1</v>
      </c>
      <c r="K188" s="1">
        <f t="shared" si="116"/>
        <v>0.22719689899795759</v>
      </c>
      <c r="L188" s="1">
        <f t="shared" si="117"/>
        <v>3.7367932889868088E-2</v>
      </c>
      <c r="M188" s="1">
        <f t="shared" si="118"/>
        <v>5.2914743118919272E-3</v>
      </c>
      <c r="N188" s="1">
        <f t="shared" si="119"/>
        <v>1.0547902550450856E-2</v>
      </c>
    </row>
    <row r="189" spans="1:14" x14ac:dyDescent="0.25">
      <c r="A189" s="4">
        <v>0</v>
      </c>
      <c r="B189" s="4">
        <v>1</v>
      </c>
      <c r="C189" s="4">
        <v>1</v>
      </c>
      <c r="E189" s="1">
        <f t="shared" si="111"/>
        <v>0.85973683525336397</v>
      </c>
      <c r="F189" s="1">
        <f t="shared" si="112"/>
        <v>0.12174276249473581</v>
      </c>
      <c r="G189" s="1">
        <f t="shared" si="113"/>
        <v>0.24267920797257456</v>
      </c>
      <c r="H189" s="1">
        <f t="shared" si="114"/>
        <v>0.59295488782120875</v>
      </c>
      <c r="I189" s="1">
        <f t="shared" si="115"/>
        <v>1</v>
      </c>
      <c r="J189" s="1">
        <v>0</v>
      </c>
      <c r="K189" s="1">
        <f t="shared" si="116"/>
        <v>-0.59295488782120875</v>
      </c>
      <c r="L189" s="1">
        <f t="shared" si="117"/>
        <v>-0.10195703174068391</v>
      </c>
      <c r="M189" s="1">
        <f t="shared" si="118"/>
        <v>-1.4437593215622027E-2</v>
      </c>
      <c r="N189" s="1">
        <f t="shared" si="119"/>
        <v>-2.8779564507983548E-2</v>
      </c>
    </row>
    <row r="190" spans="1:14" x14ac:dyDescent="0.25">
      <c r="A190" s="5">
        <v>0</v>
      </c>
      <c r="B190" s="5">
        <v>0</v>
      </c>
      <c r="C190" s="5">
        <v>0</v>
      </c>
      <c r="E190" s="1">
        <f t="shared" si="111"/>
        <v>0.75777980351268004</v>
      </c>
      <c r="F190" s="1">
        <f t="shared" si="112"/>
        <v>0.10730516927911378</v>
      </c>
      <c r="G190" s="1">
        <f t="shared" si="113"/>
        <v>0.213899643464591</v>
      </c>
      <c r="H190" s="1">
        <f t="shared" si="114"/>
        <v>0.46211715726000974</v>
      </c>
      <c r="I190" s="1">
        <f t="shared" si="115"/>
        <v>0</v>
      </c>
      <c r="J190" s="1">
        <v>1</v>
      </c>
      <c r="K190" s="1">
        <f t="shared" si="116"/>
        <v>0.53788284273999021</v>
      </c>
      <c r="L190" s="1">
        <f t="shared" si="117"/>
        <v>8.1519350976870311E-2</v>
      </c>
      <c r="M190" s="1">
        <f t="shared" si="118"/>
        <v>1.1543521898509117E-2</v>
      </c>
      <c r="N190" s="1">
        <f t="shared" si="119"/>
        <v>2.3010589657560917E-2</v>
      </c>
    </row>
    <row r="191" spans="1:14" x14ac:dyDescent="0.25">
      <c r="A191" s="1">
        <v>1</v>
      </c>
      <c r="B191" s="1">
        <v>1</v>
      </c>
      <c r="C191" s="1">
        <v>1</v>
      </c>
      <c r="E191" s="1">
        <f t="shared" si="111"/>
        <v>0.83929915448955039</v>
      </c>
      <c r="F191" s="1">
        <f t="shared" si="112"/>
        <v>0.11884869117762289</v>
      </c>
      <c r="G191" s="1">
        <f t="shared" si="113"/>
        <v>0.23691023312215193</v>
      </c>
      <c r="H191" s="1">
        <f t="shared" si="114"/>
        <v>0.79960969217368982</v>
      </c>
      <c r="I191" s="1">
        <f t="shared" si="115"/>
        <v>1</v>
      </c>
      <c r="J191" s="1">
        <v>0</v>
      </c>
      <c r="K191" s="1">
        <f t="shared" si="116"/>
        <v>-0.79960969217368982</v>
      </c>
      <c r="L191" s="1">
        <f t="shared" si="117"/>
        <v>-0.13422234771260552</v>
      </c>
      <c r="M191" s="1">
        <f t="shared" si="118"/>
        <v>-1.9006513073556996E-2</v>
      </c>
      <c r="N191" s="1">
        <f t="shared" si="119"/>
        <v>-3.7887143715920203E-2</v>
      </c>
    </row>
    <row r="192" spans="1:14" x14ac:dyDescent="0.25">
      <c r="A192"/>
      <c r="B192"/>
      <c r="C192"/>
      <c r="E192"/>
      <c r="F192"/>
      <c r="G192"/>
      <c r="H192"/>
      <c r="I192"/>
      <c r="J192"/>
      <c r="K192"/>
      <c r="L192"/>
      <c r="M192"/>
      <c r="N192"/>
    </row>
    <row r="193" spans="1:14" x14ac:dyDescent="0.25">
      <c r="A193"/>
      <c r="B193"/>
      <c r="C193"/>
      <c r="E193"/>
      <c r="F193"/>
      <c r="G193"/>
      <c r="H193"/>
      <c r="I193"/>
      <c r="J193"/>
      <c r="K193"/>
      <c r="L193"/>
      <c r="M193"/>
      <c r="N193"/>
    </row>
    <row r="194" spans="1:14" x14ac:dyDescent="0.25">
      <c r="A194"/>
      <c r="B194"/>
      <c r="C194"/>
      <c r="E194"/>
      <c r="F194"/>
      <c r="G194"/>
      <c r="H194"/>
      <c r="I194"/>
      <c r="J194"/>
      <c r="K194"/>
      <c r="L194"/>
      <c r="M194"/>
      <c r="N194"/>
    </row>
    <row r="195" spans="1:14" x14ac:dyDescent="0.25">
      <c r="A195"/>
      <c r="B195"/>
      <c r="C195"/>
      <c r="E195"/>
      <c r="F195"/>
      <c r="G195"/>
      <c r="H195"/>
      <c r="I195"/>
      <c r="J195"/>
      <c r="K195"/>
      <c r="L195"/>
      <c r="M195"/>
      <c r="N195"/>
    </row>
    <row r="196" spans="1:14" x14ac:dyDescent="0.25">
      <c r="A196"/>
      <c r="B196"/>
      <c r="C196"/>
      <c r="E196"/>
      <c r="F196"/>
      <c r="G196"/>
      <c r="H196"/>
      <c r="I196"/>
      <c r="J196"/>
      <c r="K196"/>
      <c r="L196"/>
      <c r="M196"/>
      <c r="N196"/>
    </row>
    <row r="197" spans="1:14" x14ac:dyDescent="0.25">
      <c r="A197"/>
      <c r="B197"/>
      <c r="C197"/>
      <c r="E197"/>
      <c r="F197"/>
      <c r="G197"/>
      <c r="H197"/>
      <c r="I197"/>
      <c r="J197"/>
      <c r="K197"/>
      <c r="L197"/>
      <c r="M197"/>
      <c r="N197"/>
    </row>
    <row r="198" spans="1:14" x14ac:dyDescent="0.25">
      <c r="A198"/>
      <c r="B198"/>
      <c r="C198"/>
      <c r="E198"/>
      <c r="F198"/>
      <c r="G198"/>
      <c r="H198"/>
      <c r="I198"/>
      <c r="J198"/>
      <c r="K198"/>
      <c r="L198"/>
      <c r="M198"/>
      <c r="N198"/>
    </row>
    <row r="199" spans="1:14" x14ac:dyDescent="0.25">
      <c r="A199"/>
      <c r="B199"/>
      <c r="C199"/>
      <c r="E199"/>
      <c r="F199"/>
      <c r="G199"/>
      <c r="H199"/>
      <c r="I199"/>
      <c r="J199"/>
      <c r="K199"/>
      <c r="L199"/>
      <c r="M199"/>
      <c r="N199"/>
    </row>
    <row r="200" spans="1:14" x14ac:dyDescent="0.25">
      <c r="A200"/>
      <c r="B200"/>
      <c r="C200"/>
      <c r="E200"/>
      <c r="F200"/>
      <c r="G200"/>
      <c r="H200"/>
      <c r="I200"/>
      <c r="J200"/>
      <c r="K200"/>
      <c r="L200"/>
      <c r="M200"/>
      <c r="N200"/>
    </row>
    <row r="201" spans="1:14" x14ac:dyDescent="0.25">
      <c r="A201"/>
      <c r="B201"/>
      <c r="C201"/>
      <c r="E201"/>
      <c r="F201"/>
      <c r="G201"/>
      <c r="H201"/>
      <c r="I201"/>
      <c r="J201"/>
      <c r="K201"/>
      <c r="L201"/>
      <c r="M201"/>
      <c r="N201"/>
    </row>
    <row r="202" spans="1:14" x14ac:dyDescent="0.25">
      <c r="A202"/>
      <c r="B202"/>
      <c r="C202"/>
      <c r="E202"/>
      <c r="F202"/>
      <c r="G202"/>
      <c r="H202"/>
      <c r="I202"/>
      <c r="J202"/>
      <c r="K202"/>
      <c r="L202"/>
      <c r="M202"/>
      <c r="N202"/>
    </row>
    <row r="203" spans="1:14" x14ac:dyDescent="0.25">
      <c r="A203"/>
      <c r="B203"/>
      <c r="C203"/>
      <c r="E203"/>
      <c r="F203"/>
      <c r="G203"/>
      <c r="H203"/>
      <c r="I203"/>
      <c r="J203"/>
      <c r="K203"/>
      <c r="L203"/>
      <c r="M203"/>
      <c r="N203"/>
    </row>
    <row r="204" spans="1:14" x14ac:dyDescent="0.25">
      <c r="A204"/>
      <c r="B204"/>
      <c r="C204"/>
      <c r="E204"/>
      <c r="F204"/>
      <c r="G204"/>
      <c r="H204"/>
      <c r="I204"/>
      <c r="J204"/>
      <c r="K204"/>
      <c r="L204"/>
      <c r="M204"/>
      <c r="N204"/>
    </row>
    <row r="205" spans="1:14" x14ac:dyDescent="0.25">
      <c r="A205"/>
      <c r="B205"/>
      <c r="C205"/>
      <c r="E205"/>
      <c r="F205"/>
      <c r="G205"/>
      <c r="H205"/>
      <c r="I205"/>
      <c r="J205"/>
      <c r="K205"/>
      <c r="L205"/>
      <c r="M205"/>
      <c r="N205"/>
    </row>
    <row r="206" spans="1:14" x14ac:dyDescent="0.25">
      <c r="A206"/>
      <c r="B206"/>
      <c r="C206"/>
      <c r="E206"/>
      <c r="F206"/>
      <c r="G206"/>
      <c r="H206"/>
      <c r="I206"/>
      <c r="J206"/>
      <c r="K206"/>
      <c r="L206"/>
      <c r="M206"/>
      <c r="N206"/>
    </row>
    <row r="207" spans="1:14" x14ac:dyDescent="0.25">
      <c r="A207"/>
      <c r="B207"/>
      <c r="C207"/>
      <c r="E207"/>
      <c r="F207"/>
      <c r="G207"/>
      <c r="H207"/>
      <c r="I207"/>
      <c r="J207"/>
      <c r="K207"/>
      <c r="L207"/>
      <c r="M207"/>
      <c r="N207"/>
    </row>
    <row r="208" spans="1:14" x14ac:dyDescent="0.25">
      <c r="A208"/>
      <c r="B208"/>
      <c r="C208"/>
      <c r="E208"/>
      <c r="F208"/>
      <c r="G208"/>
      <c r="H208"/>
      <c r="I208"/>
      <c r="J208"/>
      <c r="K208"/>
      <c r="L208"/>
      <c r="M208"/>
      <c r="N208"/>
    </row>
    <row r="209" spans="1:14" x14ac:dyDescent="0.25">
      <c r="A209"/>
      <c r="B209"/>
      <c r="C209"/>
      <c r="E209"/>
      <c r="F209"/>
      <c r="G209"/>
      <c r="H209"/>
      <c r="I209"/>
      <c r="J209"/>
      <c r="K209"/>
      <c r="L209"/>
      <c r="M209"/>
      <c r="N209"/>
    </row>
    <row r="210" spans="1:14" x14ac:dyDescent="0.25">
      <c r="A210"/>
      <c r="B210"/>
      <c r="C210"/>
      <c r="E210"/>
      <c r="F210"/>
      <c r="G210"/>
      <c r="H210"/>
      <c r="I210"/>
      <c r="J210"/>
      <c r="K210"/>
      <c r="L210"/>
      <c r="M210"/>
      <c r="N210"/>
    </row>
    <row r="211" spans="1:14" x14ac:dyDescent="0.25">
      <c r="A211"/>
      <c r="B211"/>
      <c r="C211"/>
      <c r="E211"/>
      <c r="F211"/>
      <c r="G211"/>
      <c r="H211"/>
      <c r="I211"/>
      <c r="J211"/>
      <c r="K211"/>
      <c r="L211"/>
      <c r="M211"/>
      <c r="N211"/>
    </row>
    <row r="212" spans="1:14" x14ac:dyDescent="0.25">
      <c r="A212"/>
      <c r="B212"/>
      <c r="C212"/>
      <c r="E212"/>
      <c r="F212"/>
      <c r="G212"/>
      <c r="H212"/>
      <c r="I212"/>
      <c r="J212"/>
      <c r="K212"/>
      <c r="L212"/>
      <c r="M212"/>
      <c r="N212"/>
    </row>
    <row r="213" spans="1:14" x14ac:dyDescent="0.25">
      <c r="A213"/>
      <c r="B213"/>
      <c r="C213"/>
      <c r="E213"/>
      <c r="F213"/>
      <c r="G213"/>
      <c r="H213"/>
      <c r="I213"/>
      <c r="J213"/>
      <c r="K213"/>
      <c r="L213"/>
      <c r="M213"/>
      <c r="N213"/>
    </row>
    <row r="214" spans="1:14" x14ac:dyDescent="0.25">
      <c r="A214"/>
      <c r="B214"/>
      <c r="C214"/>
      <c r="E214"/>
      <c r="F214"/>
      <c r="G214"/>
      <c r="H214"/>
      <c r="I214"/>
      <c r="J214"/>
      <c r="K214"/>
      <c r="L214"/>
      <c r="M214"/>
      <c r="N214"/>
    </row>
    <row r="215" spans="1:14" x14ac:dyDescent="0.25">
      <c r="A215"/>
      <c r="B215"/>
      <c r="C215"/>
      <c r="E215"/>
      <c r="F215"/>
      <c r="G215"/>
      <c r="H215"/>
      <c r="I215"/>
      <c r="J215"/>
      <c r="K215"/>
      <c r="L215"/>
      <c r="M215"/>
      <c r="N215"/>
    </row>
    <row r="216" spans="1:14" x14ac:dyDescent="0.25">
      <c r="A216"/>
      <c r="B216"/>
      <c r="C216"/>
      <c r="E216"/>
      <c r="F216"/>
      <c r="G216"/>
      <c r="H216"/>
      <c r="I216"/>
      <c r="J216"/>
      <c r="K216"/>
      <c r="L216"/>
      <c r="M216"/>
      <c r="N216"/>
    </row>
    <row r="217" spans="1:14" x14ac:dyDescent="0.25">
      <c r="A217"/>
      <c r="B217"/>
      <c r="C217"/>
      <c r="E217"/>
      <c r="F217"/>
      <c r="G217"/>
      <c r="H217"/>
      <c r="I217"/>
      <c r="J217"/>
      <c r="K217"/>
      <c r="L217"/>
      <c r="M217"/>
      <c r="N217"/>
    </row>
    <row r="218" spans="1:14" x14ac:dyDescent="0.25">
      <c r="A218"/>
      <c r="B218"/>
      <c r="C218"/>
      <c r="E218"/>
      <c r="F218"/>
      <c r="G218"/>
      <c r="H218"/>
      <c r="I218"/>
      <c r="J218"/>
      <c r="K218"/>
      <c r="L218"/>
      <c r="M218"/>
      <c r="N218"/>
    </row>
    <row r="219" spans="1:14" x14ac:dyDescent="0.25">
      <c r="A219"/>
      <c r="B219"/>
      <c r="C219"/>
      <c r="E219"/>
      <c r="F219"/>
      <c r="G219"/>
      <c r="H219"/>
      <c r="I219"/>
      <c r="J219"/>
      <c r="K219"/>
      <c r="L219"/>
      <c r="M219"/>
      <c r="N219"/>
    </row>
    <row r="220" spans="1:14" x14ac:dyDescent="0.25">
      <c r="A220"/>
      <c r="B220"/>
      <c r="C220"/>
      <c r="E220"/>
      <c r="F220"/>
      <c r="G220"/>
      <c r="H220"/>
      <c r="I220"/>
      <c r="J220"/>
      <c r="K220"/>
      <c r="L220"/>
      <c r="M220"/>
      <c r="N220"/>
    </row>
    <row r="221" spans="1:14" x14ac:dyDescent="0.25">
      <c r="A221"/>
      <c r="B221"/>
      <c r="C221"/>
      <c r="E221"/>
      <c r="F221"/>
      <c r="G221"/>
      <c r="H221"/>
      <c r="I221"/>
      <c r="J221"/>
      <c r="K221"/>
      <c r="L221"/>
      <c r="M221"/>
      <c r="N221"/>
    </row>
    <row r="222" spans="1:14" x14ac:dyDescent="0.25">
      <c r="A222"/>
      <c r="B222"/>
      <c r="C222"/>
      <c r="E222"/>
      <c r="F222"/>
      <c r="G222"/>
      <c r="H222"/>
      <c r="I222"/>
      <c r="J222"/>
      <c r="K222"/>
      <c r="L222"/>
      <c r="M222"/>
      <c r="N222"/>
    </row>
    <row r="223" spans="1:14" x14ac:dyDescent="0.25">
      <c r="A223"/>
      <c r="B223"/>
      <c r="C223"/>
      <c r="E223"/>
      <c r="F223"/>
      <c r="G223"/>
      <c r="H223"/>
      <c r="I223"/>
      <c r="J223"/>
      <c r="K223"/>
      <c r="L223"/>
      <c r="M223"/>
      <c r="N223"/>
    </row>
    <row r="224" spans="1:14" x14ac:dyDescent="0.25">
      <c r="A224"/>
      <c r="B224"/>
      <c r="C224"/>
      <c r="E224"/>
      <c r="F224"/>
      <c r="G224"/>
      <c r="H224"/>
      <c r="I224"/>
      <c r="J224"/>
      <c r="K224"/>
      <c r="L224"/>
      <c r="M224"/>
      <c r="N224"/>
    </row>
    <row r="225" spans="1:14" x14ac:dyDescent="0.25">
      <c r="A225"/>
      <c r="B225"/>
      <c r="C225"/>
      <c r="E225"/>
      <c r="F225"/>
      <c r="G225"/>
      <c r="H225"/>
      <c r="I225"/>
      <c r="J225"/>
      <c r="K225"/>
      <c r="L225"/>
      <c r="M225"/>
      <c r="N225"/>
    </row>
    <row r="226" spans="1:14" x14ac:dyDescent="0.25">
      <c r="A226"/>
      <c r="B226"/>
      <c r="C226"/>
      <c r="E226"/>
      <c r="F226"/>
      <c r="G226"/>
      <c r="H226"/>
      <c r="I226"/>
      <c r="J226"/>
      <c r="K226"/>
      <c r="L226"/>
      <c r="M226"/>
      <c r="N226"/>
    </row>
    <row r="227" spans="1:14" x14ac:dyDescent="0.25">
      <c r="A227"/>
      <c r="B227"/>
      <c r="C227"/>
      <c r="E227"/>
      <c r="F227"/>
      <c r="G227"/>
      <c r="H227"/>
      <c r="I227"/>
      <c r="J227"/>
      <c r="K227"/>
      <c r="L227"/>
      <c r="M227"/>
      <c r="N227"/>
    </row>
    <row r="228" spans="1:14" x14ac:dyDescent="0.25">
      <c r="A228"/>
      <c r="B228"/>
      <c r="C228"/>
      <c r="E228"/>
      <c r="F228"/>
      <c r="G228"/>
      <c r="H228"/>
      <c r="I228"/>
      <c r="J228"/>
      <c r="K228"/>
      <c r="L228"/>
      <c r="M228"/>
      <c r="N228"/>
    </row>
    <row r="229" spans="1:14" x14ac:dyDescent="0.25">
      <c r="A229"/>
      <c r="B229"/>
      <c r="C229"/>
      <c r="E229"/>
      <c r="F229"/>
      <c r="G229"/>
      <c r="H229"/>
      <c r="I229"/>
      <c r="J229"/>
      <c r="K229"/>
      <c r="L229"/>
      <c r="M229"/>
      <c r="N229"/>
    </row>
    <row r="230" spans="1:14" x14ac:dyDescent="0.25">
      <c r="A230"/>
      <c r="B230"/>
      <c r="C230"/>
      <c r="E230"/>
      <c r="F230"/>
      <c r="G230"/>
      <c r="H230"/>
      <c r="I230"/>
      <c r="J230"/>
      <c r="K230"/>
      <c r="L230"/>
      <c r="M230"/>
      <c r="N230"/>
    </row>
    <row r="231" spans="1:14" x14ac:dyDescent="0.25">
      <c r="A231"/>
      <c r="B231"/>
      <c r="C231"/>
      <c r="E231"/>
      <c r="F231"/>
      <c r="G231"/>
      <c r="H231"/>
      <c r="I231"/>
      <c r="J231"/>
      <c r="K231"/>
      <c r="L231"/>
      <c r="M231"/>
      <c r="N231"/>
    </row>
    <row r="232" spans="1:14" x14ac:dyDescent="0.25">
      <c r="A232"/>
      <c r="B232"/>
      <c r="C232"/>
      <c r="E232"/>
      <c r="F232"/>
      <c r="G232"/>
      <c r="H232"/>
      <c r="I232"/>
      <c r="J232"/>
      <c r="K232"/>
      <c r="L232"/>
      <c r="M232"/>
      <c r="N232"/>
    </row>
    <row r="233" spans="1:14" x14ac:dyDescent="0.25">
      <c r="A233"/>
      <c r="B233"/>
      <c r="C233"/>
      <c r="E233"/>
      <c r="F233"/>
      <c r="G233"/>
      <c r="H233"/>
      <c r="I233"/>
      <c r="J233"/>
      <c r="K233"/>
      <c r="L233"/>
      <c r="M233"/>
      <c r="N233"/>
    </row>
    <row r="234" spans="1:14" x14ac:dyDescent="0.25">
      <c r="A234"/>
      <c r="B234"/>
      <c r="C234"/>
      <c r="E234"/>
      <c r="F234"/>
      <c r="G234"/>
      <c r="H234"/>
      <c r="I234"/>
      <c r="J234"/>
      <c r="K234"/>
      <c r="L234"/>
      <c r="M234"/>
      <c r="N234"/>
    </row>
    <row r="235" spans="1:14" x14ac:dyDescent="0.25">
      <c r="A235"/>
      <c r="B235"/>
      <c r="C235"/>
      <c r="E235"/>
      <c r="F235"/>
      <c r="G235"/>
      <c r="H235"/>
      <c r="I235"/>
      <c r="J235"/>
      <c r="K235"/>
      <c r="L235"/>
      <c r="M235"/>
      <c r="N235"/>
    </row>
    <row r="236" spans="1:14" x14ac:dyDescent="0.25">
      <c r="A236"/>
      <c r="B236"/>
      <c r="C236"/>
      <c r="E236"/>
      <c r="F236"/>
      <c r="G236"/>
      <c r="H236"/>
      <c r="I236"/>
      <c r="J236"/>
      <c r="K236"/>
      <c r="L236"/>
      <c r="M236"/>
      <c r="N236"/>
    </row>
    <row r="237" spans="1:14" x14ac:dyDescent="0.25">
      <c r="A237"/>
      <c r="B237"/>
      <c r="C237"/>
      <c r="E237"/>
      <c r="F237"/>
      <c r="G237"/>
      <c r="H237"/>
      <c r="I237"/>
      <c r="J237"/>
      <c r="K237"/>
      <c r="L237"/>
      <c r="M237"/>
      <c r="N237"/>
    </row>
    <row r="238" spans="1:14" x14ac:dyDescent="0.25">
      <c r="A238"/>
      <c r="B238"/>
      <c r="C238"/>
      <c r="E238"/>
      <c r="F238"/>
      <c r="G238"/>
      <c r="H238"/>
      <c r="I238"/>
      <c r="J238"/>
      <c r="K238"/>
      <c r="L238"/>
      <c r="M238"/>
      <c r="N238"/>
    </row>
    <row r="239" spans="1:14" x14ac:dyDescent="0.25">
      <c r="A239"/>
      <c r="B239"/>
      <c r="C239"/>
      <c r="E239"/>
      <c r="F239"/>
      <c r="G239"/>
      <c r="H239"/>
      <c r="I239"/>
      <c r="J239"/>
      <c r="K239"/>
      <c r="L239"/>
      <c r="M239"/>
      <c r="N239"/>
    </row>
    <row r="240" spans="1:14" x14ac:dyDescent="0.25">
      <c r="A240"/>
      <c r="B240"/>
      <c r="C240"/>
      <c r="E240"/>
      <c r="F240"/>
      <c r="G240"/>
      <c r="H240"/>
      <c r="I240"/>
      <c r="J240"/>
      <c r="K240"/>
      <c r="L240"/>
      <c r="M240"/>
      <c r="N240"/>
    </row>
    <row r="241" spans="1:14" x14ac:dyDescent="0.25">
      <c r="A241"/>
      <c r="B241"/>
      <c r="C241"/>
      <c r="E241"/>
      <c r="F241"/>
      <c r="G241"/>
      <c r="H241"/>
      <c r="I241"/>
      <c r="J241"/>
      <c r="K241"/>
      <c r="L241"/>
      <c r="M241"/>
      <c r="N241"/>
    </row>
    <row r="242" spans="1:14" x14ac:dyDescent="0.25">
      <c r="A242"/>
      <c r="B242"/>
      <c r="C242"/>
      <c r="E242"/>
      <c r="F242"/>
      <c r="G242"/>
      <c r="H242"/>
      <c r="I242"/>
      <c r="J242"/>
      <c r="K242"/>
      <c r="L242"/>
      <c r="M242"/>
      <c r="N242"/>
    </row>
    <row r="243" spans="1:14" x14ac:dyDescent="0.25">
      <c r="A243"/>
      <c r="B243"/>
      <c r="C243"/>
      <c r="E243"/>
      <c r="F243"/>
      <c r="G243"/>
      <c r="H243"/>
      <c r="I243"/>
      <c r="J243"/>
      <c r="K243"/>
      <c r="L243"/>
      <c r="M243"/>
      <c r="N243"/>
    </row>
    <row r="244" spans="1:14" x14ac:dyDescent="0.25">
      <c r="A244"/>
      <c r="B244"/>
      <c r="C244"/>
      <c r="E244"/>
      <c r="F244"/>
      <c r="G244"/>
      <c r="H244"/>
      <c r="I244"/>
      <c r="J244"/>
      <c r="K244"/>
      <c r="L244"/>
      <c r="M244"/>
      <c r="N244"/>
    </row>
    <row r="245" spans="1:14" x14ac:dyDescent="0.25">
      <c r="A245"/>
      <c r="B245"/>
      <c r="C245"/>
      <c r="E245"/>
      <c r="F245"/>
      <c r="G245"/>
      <c r="H245"/>
      <c r="I245"/>
      <c r="J245"/>
      <c r="K245"/>
      <c r="L245"/>
      <c r="M245"/>
      <c r="N245"/>
    </row>
    <row r="246" spans="1:14" x14ac:dyDescent="0.25">
      <c r="A246"/>
      <c r="B246"/>
      <c r="C246"/>
      <c r="E246"/>
      <c r="F246"/>
      <c r="G246"/>
      <c r="H246"/>
      <c r="I246"/>
      <c r="J246"/>
      <c r="K246"/>
      <c r="L246"/>
      <c r="M246"/>
      <c r="N246"/>
    </row>
    <row r="247" spans="1:14" x14ac:dyDescent="0.25">
      <c r="A247"/>
      <c r="B247"/>
      <c r="C247"/>
      <c r="E247"/>
      <c r="F247"/>
      <c r="G247"/>
      <c r="H247"/>
      <c r="I247"/>
      <c r="J247"/>
      <c r="K247"/>
      <c r="L247"/>
      <c r="M247"/>
      <c r="N247"/>
    </row>
    <row r="248" spans="1:14" x14ac:dyDescent="0.25">
      <c r="A248"/>
      <c r="B248"/>
      <c r="C248"/>
      <c r="E248"/>
      <c r="F248"/>
      <c r="G248"/>
      <c r="H248"/>
      <c r="I248"/>
      <c r="J248"/>
      <c r="K248"/>
      <c r="L248"/>
      <c r="M248"/>
      <c r="N248"/>
    </row>
    <row r="249" spans="1:14" x14ac:dyDescent="0.25">
      <c r="A249"/>
      <c r="B249"/>
      <c r="C249"/>
      <c r="E249"/>
      <c r="F249"/>
      <c r="G249"/>
      <c r="H249"/>
      <c r="I249"/>
      <c r="J249"/>
      <c r="K249"/>
      <c r="L249"/>
      <c r="M249"/>
      <c r="N249"/>
    </row>
    <row r="250" spans="1:14" x14ac:dyDescent="0.25">
      <c r="A250"/>
      <c r="B250"/>
      <c r="C250"/>
      <c r="E250"/>
      <c r="F250"/>
      <c r="G250"/>
      <c r="H250"/>
      <c r="I250"/>
      <c r="J250"/>
      <c r="K250"/>
      <c r="L250"/>
      <c r="M250"/>
      <c r="N250"/>
    </row>
    <row r="251" spans="1:14" x14ac:dyDescent="0.25">
      <c r="A251"/>
      <c r="B251"/>
      <c r="C251"/>
      <c r="E251"/>
      <c r="F251"/>
      <c r="G251"/>
      <c r="H251"/>
      <c r="I251"/>
      <c r="J251"/>
      <c r="K251"/>
      <c r="L251"/>
      <c r="M251"/>
      <c r="N251"/>
    </row>
    <row r="252" spans="1:14" x14ac:dyDescent="0.25">
      <c r="A252"/>
      <c r="B252"/>
      <c r="C252"/>
      <c r="E252"/>
      <c r="F252"/>
      <c r="G252"/>
      <c r="H252"/>
      <c r="I252"/>
      <c r="J252"/>
      <c r="K252"/>
      <c r="L252"/>
      <c r="M252"/>
      <c r="N252"/>
    </row>
    <row r="253" spans="1:14" x14ac:dyDescent="0.25">
      <c r="A253"/>
      <c r="B253"/>
      <c r="C253"/>
      <c r="E253"/>
      <c r="F253"/>
      <c r="G253"/>
      <c r="H253"/>
      <c r="I253"/>
      <c r="J253"/>
      <c r="K253"/>
      <c r="L253"/>
      <c r="M253"/>
      <c r="N253"/>
    </row>
    <row r="254" spans="1:14" x14ac:dyDescent="0.25">
      <c r="A254"/>
      <c r="B254"/>
      <c r="C254"/>
      <c r="E254"/>
      <c r="F254"/>
      <c r="G254"/>
      <c r="H254"/>
      <c r="I254"/>
      <c r="J254"/>
      <c r="K254"/>
      <c r="L254"/>
      <c r="M254"/>
      <c r="N254"/>
    </row>
    <row r="255" spans="1:14" x14ac:dyDescent="0.25">
      <c r="A255"/>
      <c r="B255"/>
      <c r="C255"/>
      <c r="E255"/>
      <c r="F255"/>
      <c r="G255"/>
      <c r="H255"/>
      <c r="I255"/>
      <c r="J255"/>
      <c r="K255"/>
      <c r="L255"/>
      <c r="M255"/>
      <c r="N255"/>
    </row>
    <row r="256" spans="1:14" x14ac:dyDescent="0.25">
      <c r="A256"/>
      <c r="B256"/>
      <c r="C256"/>
      <c r="E256"/>
      <c r="F256"/>
      <c r="G256"/>
      <c r="H256"/>
      <c r="I256"/>
      <c r="J256"/>
      <c r="K256"/>
      <c r="L256"/>
      <c r="M256"/>
      <c r="N256"/>
    </row>
    <row r="257" spans="1:14" x14ac:dyDescent="0.25">
      <c r="A257"/>
      <c r="B257"/>
      <c r="C257"/>
      <c r="E257"/>
      <c r="F257"/>
      <c r="G257"/>
      <c r="H257"/>
      <c r="I257"/>
      <c r="J257"/>
      <c r="K257"/>
      <c r="L257"/>
      <c r="M257"/>
      <c r="N257"/>
    </row>
    <row r="258" spans="1:14" x14ac:dyDescent="0.25">
      <c r="A258"/>
      <c r="B258"/>
      <c r="C258"/>
      <c r="E258"/>
      <c r="F258"/>
      <c r="G258"/>
      <c r="H258"/>
      <c r="I258"/>
      <c r="J258"/>
      <c r="K258"/>
      <c r="L258"/>
      <c r="M258"/>
      <c r="N258"/>
    </row>
    <row r="259" spans="1:14" x14ac:dyDescent="0.25">
      <c r="A259"/>
      <c r="B259"/>
      <c r="C259"/>
      <c r="E259"/>
      <c r="F259"/>
      <c r="G259"/>
      <c r="H259"/>
      <c r="I259"/>
      <c r="J259"/>
      <c r="K259"/>
      <c r="L259"/>
      <c r="M259"/>
      <c r="N259"/>
    </row>
    <row r="260" spans="1:14" x14ac:dyDescent="0.25">
      <c r="A260"/>
      <c r="B260"/>
      <c r="C260"/>
      <c r="E260"/>
      <c r="F260"/>
      <c r="G260"/>
      <c r="H260"/>
      <c r="I260"/>
      <c r="J260"/>
      <c r="K260"/>
      <c r="L260"/>
      <c r="M260"/>
      <c r="N260"/>
    </row>
    <row r="261" spans="1:14" x14ac:dyDescent="0.25">
      <c r="A261"/>
      <c r="B261"/>
      <c r="C261"/>
      <c r="E261"/>
      <c r="F261"/>
      <c r="G261"/>
      <c r="H261"/>
      <c r="I261"/>
      <c r="J261"/>
      <c r="K261"/>
      <c r="L261"/>
      <c r="M261"/>
      <c r="N261"/>
    </row>
    <row r="262" spans="1:14" x14ac:dyDescent="0.25">
      <c r="A262"/>
      <c r="B262"/>
      <c r="C262"/>
      <c r="E262"/>
      <c r="F262"/>
      <c r="G262"/>
      <c r="H262"/>
      <c r="I262"/>
      <c r="J262"/>
      <c r="K262"/>
      <c r="L262"/>
      <c r="M262"/>
      <c r="N262"/>
    </row>
    <row r="263" spans="1:14" x14ac:dyDescent="0.25">
      <c r="A263"/>
      <c r="B263"/>
      <c r="C263"/>
      <c r="E263"/>
      <c r="F263"/>
      <c r="G263"/>
      <c r="H263"/>
      <c r="I263"/>
      <c r="J263"/>
      <c r="K263"/>
      <c r="L263"/>
      <c r="M263"/>
      <c r="N263"/>
    </row>
    <row r="264" spans="1:14" x14ac:dyDescent="0.25">
      <c r="A264"/>
      <c r="B264"/>
      <c r="C264"/>
      <c r="E264"/>
      <c r="F264"/>
      <c r="G264"/>
      <c r="H264"/>
      <c r="I264"/>
      <c r="J264"/>
      <c r="K264"/>
      <c r="L264"/>
      <c r="M264"/>
      <c r="N264"/>
    </row>
    <row r="265" spans="1:14" x14ac:dyDescent="0.25">
      <c r="A265"/>
      <c r="B265"/>
      <c r="C265"/>
      <c r="E265"/>
      <c r="F265"/>
      <c r="G265"/>
      <c r="H265"/>
      <c r="I265"/>
      <c r="J265"/>
      <c r="K265"/>
      <c r="L265"/>
      <c r="M265"/>
      <c r="N265"/>
    </row>
    <row r="266" spans="1:14" x14ac:dyDescent="0.25">
      <c r="A266"/>
      <c r="B266"/>
      <c r="C266"/>
      <c r="E266"/>
      <c r="F266"/>
      <c r="G266"/>
      <c r="H266"/>
      <c r="I266"/>
      <c r="J266"/>
      <c r="K266"/>
      <c r="L266"/>
      <c r="M266"/>
      <c r="N266"/>
    </row>
    <row r="267" spans="1:14" x14ac:dyDescent="0.25">
      <c r="A267"/>
      <c r="B267"/>
      <c r="C267"/>
      <c r="E267"/>
      <c r="F267"/>
      <c r="G267"/>
      <c r="H267"/>
      <c r="I267"/>
      <c r="J267"/>
      <c r="K267"/>
      <c r="L267"/>
      <c r="M267"/>
      <c r="N267"/>
    </row>
    <row r="268" spans="1:14" x14ac:dyDescent="0.25">
      <c r="A268"/>
      <c r="B268"/>
      <c r="C268"/>
      <c r="E268"/>
      <c r="F268"/>
      <c r="G268"/>
      <c r="H268"/>
      <c r="I268"/>
      <c r="J268"/>
      <c r="K268"/>
      <c r="L268"/>
      <c r="M268"/>
      <c r="N268"/>
    </row>
    <row r="269" spans="1:14" x14ac:dyDescent="0.25">
      <c r="A269"/>
      <c r="B269"/>
      <c r="C269"/>
      <c r="E269"/>
      <c r="F269"/>
      <c r="G269"/>
      <c r="H269"/>
      <c r="I269"/>
      <c r="J269"/>
      <c r="K269"/>
      <c r="L269"/>
      <c r="M269"/>
      <c r="N269"/>
    </row>
    <row r="270" spans="1:14" x14ac:dyDescent="0.25">
      <c r="A270"/>
      <c r="B270"/>
      <c r="C270"/>
      <c r="E270"/>
      <c r="F270"/>
      <c r="G270"/>
      <c r="H270"/>
      <c r="I270"/>
      <c r="J270"/>
      <c r="K270"/>
      <c r="L270"/>
      <c r="M270"/>
      <c r="N270"/>
    </row>
    <row r="271" spans="1:14" x14ac:dyDescent="0.25">
      <c r="A271"/>
      <c r="B271"/>
      <c r="C271"/>
      <c r="E271"/>
      <c r="F271"/>
      <c r="G271"/>
      <c r="H271"/>
      <c r="I271"/>
      <c r="J271"/>
      <c r="K271"/>
      <c r="L271"/>
      <c r="M271"/>
      <c r="N271"/>
    </row>
    <row r="272" spans="1:14" x14ac:dyDescent="0.25">
      <c r="A272"/>
      <c r="B272"/>
      <c r="C272"/>
      <c r="E272"/>
      <c r="F272"/>
      <c r="G272"/>
      <c r="H272"/>
      <c r="I272"/>
      <c r="J272"/>
      <c r="K272"/>
      <c r="L272"/>
      <c r="M272"/>
      <c r="N272"/>
    </row>
    <row r="273" spans="1:14" x14ac:dyDescent="0.25">
      <c r="A273"/>
      <c r="B273"/>
      <c r="C273"/>
      <c r="E273"/>
      <c r="F273"/>
      <c r="G273"/>
      <c r="H273"/>
      <c r="I273"/>
      <c r="J273"/>
      <c r="K273"/>
      <c r="L273"/>
      <c r="M273"/>
      <c r="N273"/>
    </row>
    <row r="274" spans="1:14" x14ac:dyDescent="0.25">
      <c r="A274"/>
      <c r="B274"/>
      <c r="C274"/>
      <c r="E274"/>
      <c r="F274"/>
      <c r="G274"/>
      <c r="H274"/>
      <c r="I274"/>
      <c r="J274"/>
      <c r="K274"/>
      <c r="L274"/>
      <c r="M274"/>
      <c r="N274"/>
    </row>
    <row r="275" spans="1:14" x14ac:dyDescent="0.25">
      <c r="A275"/>
      <c r="B275"/>
      <c r="C275"/>
      <c r="E275"/>
      <c r="F275"/>
      <c r="G275"/>
      <c r="H275"/>
      <c r="I275"/>
      <c r="J275"/>
      <c r="K275"/>
      <c r="L275"/>
      <c r="M275"/>
      <c r="N275"/>
    </row>
    <row r="276" spans="1:14" x14ac:dyDescent="0.25">
      <c r="A276"/>
      <c r="B276"/>
      <c r="C276"/>
      <c r="E276"/>
      <c r="F276"/>
      <c r="G276"/>
      <c r="H276"/>
      <c r="I276"/>
      <c r="J276"/>
      <c r="K276"/>
      <c r="L276"/>
      <c r="M276"/>
      <c r="N276"/>
    </row>
    <row r="277" spans="1:14" x14ac:dyDescent="0.25">
      <c r="A277"/>
      <c r="B277"/>
      <c r="C277"/>
      <c r="E277"/>
      <c r="F277"/>
      <c r="G277"/>
      <c r="H277"/>
      <c r="I277"/>
      <c r="J277"/>
      <c r="K277"/>
      <c r="L277"/>
      <c r="M277"/>
      <c r="N277"/>
    </row>
    <row r="278" spans="1:14" x14ac:dyDescent="0.25">
      <c r="A278"/>
      <c r="B278"/>
      <c r="C278"/>
      <c r="E278"/>
      <c r="F278"/>
      <c r="G278"/>
      <c r="H278"/>
      <c r="I278"/>
      <c r="J278"/>
      <c r="K278"/>
      <c r="L278"/>
      <c r="M278"/>
      <c r="N278"/>
    </row>
    <row r="279" spans="1:14" x14ac:dyDescent="0.25">
      <c r="A279"/>
      <c r="B279"/>
      <c r="C279"/>
      <c r="E279"/>
      <c r="F279"/>
      <c r="G279"/>
      <c r="H279"/>
      <c r="I279"/>
      <c r="J279"/>
      <c r="K279"/>
      <c r="L279"/>
      <c r="M279"/>
      <c r="N279"/>
    </row>
    <row r="280" spans="1:14" x14ac:dyDescent="0.25">
      <c r="A280"/>
      <c r="B280"/>
      <c r="C280"/>
      <c r="E280"/>
      <c r="F280"/>
      <c r="G280"/>
      <c r="H280"/>
      <c r="I280"/>
      <c r="J280"/>
      <c r="K280"/>
      <c r="L280"/>
      <c r="M280"/>
      <c r="N280"/>
    </row>
    <row r="281" spans="1:14" x14ac:dyDescent="0.25">
      <c r="A281"/>
      <c r="B281"/>
      <c r="C281"/>
      <c r="E281"/>
      <c r="F281"/>
      <c r="G281"/>
      <c r="H281"/>
      <c r="I281"/>
      <c r="J281"/>
      <c r="K281"/>
      <c r="L281"/>
      <c r="M281"/>
      <c r="N281"/>
    </row>
    <row r="282" spans="1:14" x14ac:dyDescent="0.25">
      <c r="A282"/>
      <c r="B282"/>
      <c r="C282"/>
      <c r="E282"/>
      <c r="F282"/>
      <c r="G282"/>
      <c r="H282"/>
      <c r="I282"/>
      <c r="J282"/>
      <c r="K282"/>
      <c r="L282"/>
      <c r="M282"/>
      <c r="N282"/>
    </row>
    <row r="283" spans="1:14" x14ac:dyDescent="0.25">
      <c r="A283"/>
      <c r="B283"/>
      <c r="C283"/>
      <c r="E283"/>
      <c r="F283"/>
      <c r="G283"/>
      <c r="H283"/>
      <c r="I283"/>
      <c r="J283"/>
      <c r="K283"/>
      <c r="L283"/>
      <c r="M283"/>
      <c r="N283"/>
    </row>
    <row r="284" spans="1:14" x14ac:dyDescent="0.25">
      <c r="A284"/>
      <c r="B284"/>
      <c r="C284"/>
      <c r="E284"/>
      <c r="F284"/>
      <c r="G284"/>
      <c r="H284"/>
      <c r="I284"/>
      <c r="J284"/>
      <c r="K284"/>
      <c r="L284"/>
      <c r="M284"/>
      <c r="N284"/>
    </row>
    <row r="285" spans="1:14" x14ac:dyDescent="0.25">
      <c r="A285"/>
      <c r="B285"/>
      <c r="C285"/>
      <c r="E285"/>
      <c r="F285"/>
      <c r="G285"/>
      <c r="H285"/>
      <c r="I285"/>
      <c r="J285"/>
      <c r="K285"/>
      <c r="L285"/>
      <c r="M285"/>
      <c r="N285"/>
    </row>
    <row r="286" spans="1:14" x14ac:dyDescent="0.25">
      <c r="A286"/>
      <c r="B286"/>
      <c r="C286"/>
      <c r="E286"/>
      <c r="F286"/>
      <c r="G286"/>
      <c r="H286"/>
      <c r="I286"/>
      <c r="J286"/>
      <c r="K286"/>
      <c r="L286"/>
      <c r="M286"/>
      <c r="N286"/>
    </row>
    <row r="287" spans="1:14" x14ac:dyDescent="0.25">
      <c r="A287"/>
      <c r="B287"/>
      <c r="C287"/>
      <c r="E287"/>
      <c r="F287"/>
      <c r="G287"/>
      <c r="H287"/>
      <c r="I287"/>
      <c r="J287"/>
      <c r="K287"/>
      <c r="L287"/>
      <c r="M287"/>
      <c r="N287"/>
    </row>
    <row r="288" spans="1:14" x14ac:dyDescent="0.25">
      <c r="A288"/>
      <c r="B288"/>
      <c r="C288"/>
      <c r="E288"/>
      <c r="F288"/>
      <c r="G288"/>
      <c r="H288"/>
      <c r="I288"/>
      <c r="J288"/>
      <c r="K288"/>
      <c r="L288"/>
      <c r="M288"/>
      <c r="N288"/>
    </row>
    <row r="289" spans="1:14" x14ac:dyDescent="0.25">
      <c r="A289"/>
      <c r="B289"/>
      <c r="C289"/>
      <c r="E289"/>
      <c r="F289"/>
      <c r="G289"/>
      <c r="H289"/>
      <c r="I289"/>
      <c r="J289"/>
      <c r="K289"/>
      <c r="L289"/>
      <c r="M289"/>
      <c r="N289"/>
    </row>
    <row r="290" spans="1:14" x14ac:dyDescent="0.25">
      <c r="A290"/>
      <c r="B290"/>
      <c r="C290"/>
      <c r="E290"/>
      <c r="F290"/>
      <c r="G290"/>
      <c r="H290"/>
      <c r="I290"/>
      <c r="J290"/>
      <c r="K290"/>
      <c r="L290"/>
      <c r="M290"/>
      <c r="N290"/>
    </row>
    <row r="291" spans="1:14" x14ac:dyDescent="0.25">
      <c r="A291"/>
      <c r="B291"/>
      <c r="C291"/>
      <c r="E291"/>
      <c r="F291"/>
      <c r="G291"/>
      <c r="H291"/>
      <c r="I291"/>
      <c r="J291"/>
      <c r="K291"/>
      <c r="L291"/>
      <c r="M291"/>
      <c r="N291"/>
    </row>
    <row r="292" spans="1:14" x14ac:dyDescent="0.25">
      <c r="A292"/>
      <c r="B292"/>
      <c r="C292"/>
      <c r="E292"/>
      <c r="F292"/>
      <c r="G292"/>
      <c r="H292"/>
      <c r="I292"/>
      <c r="J292"/>
      <c r="K292"/>
      <c r="L292"/>
      <c r="M292"/>
      <c r="N292"/>
    </row>
    <row r="293" spans="1:14" x14ac:dyDescent="0.25">
      <c r="A293"/>
      <c r="B293"/>
      <c r="C293"/>
      <c r="E293"/>
      <c r="F293"/>
      <c r="G293"/>
      <c r="H293"/>
      <c r="I293"/>
      <c r="J293"/>
      <c r="K293"/>
      <c r="L293"/>
      <c r="M293"/>
      <c r="N293"/>
    </row>
    <row r="294" spans="1:14" x14ac:dyDescent="0.25">
      <c r="A294"/>
      <c r="B294"/>
      <c r="C294"/>
      <c r="E294"/>
      <c r="F294"/>
      <c r="G294"/>
      <c r="H294"/>
      <c r="I294"/>
      <c r="J294"/>
      <c r="K294"/>
      <c r="L294"/>
      <c r="M294"/>
      <c r="N294"/>
    </row>
    <row r="295" spans="1:14" x14ac:dyDescent="0.25">
      <c r="A295"/>
      <c r="B295"/>
      <c r="C295"/>
      <c r="E295"/>
      <c r="F295"/>
      <c r="G295"/>
      <c r="H295"/>
      <c r="I295"/>
      <c r="J295"/>
      <c r="K295"/>
      <c r="L295"/>
      <c r="M295"/>
      <c r="N295"/>
    </row>
    <row r="296" spans="1:14" x14ac:dyDescent="0.25">
      <c r="A296"/>
      <c r="B296"/>
      <c r="C296"/>
      <c r="E296"/>
      <c r="F296"/>
      <c r="G296"/>
      <c r="H296"/>
      <c r="I296"/>
      <c r="J296"/>
      <c r="K296"/>
      <c r="L296"/>
      <c r="M296"/>
      <c r="N296"/>
    </row>
    <row r="297" spans="1:14" x14ac:dyDescent="0.25">
      <c r="A297"/>
      <c r="B297"/>
      <c r="C297"/>
      <c r="E297"/>
      <c r="F297"/>
      <c r="G297"/>
      <c r="H297"/>
      <c r="I297"/>
      <c r="J297"/>
      <c r="K297"/>
      <c r="L297"/>
      <c r="M297"/>
      <c r="N297"/>
    </row>
    <row r="298" spans="1:14" x14ac:dyDescent="0.25">
      <c r="A298"/>
      <c r="B298"/>
      <c r="C298"/>
      <c r="E298"/>
      <c r="F298"/>
      <c r="G298"/>
      <c r="H298"/>
      <c r="I298"/>
      <c r="J298"/>
      <c r="K298"/>
      <c r="L298"/>
      <c r="M298"/>
      <c r="N298"/>
    </row>
    <row r="299" spans="1:14" x14ac:dyDescent="0.25">
      <c r="A299"/>
      <c r="B299"/>
      <c r="C299"/>
      <c r="E299"/>
      <c r="F299"/>
      <c r="G299"/>
      <c r="H299"/>
      <c r="I299"/>
      <c r="J299"/>
      <c r="K299"/>
      <c r="L299"/>
      <c r="M299"/>
      <c r="N299"/>
    </row>
    <row r="300" spans="1:14" x14ac:dyDescent="0.25">
      <c r="A300"/>
      <c r="B300"/>
      <c r="C300"/>
      <c r="E300"/>
      <c r="F300"/>
      <c r="G300"/>
      <c r="H300"/>
      <c r="I300"/>
      <c r="J300"/>
      <c r="K300"/>
      <c r="L300"/>
      <c r="M300"/>
      <c r="N300"/>
    </row>
    <row r="301" spans="1:14" x14ac:dyDescent="0.25">
      <c r="A301"/>
      <c r="B301"/>
      <c r="C301"/>
      <c r="E301"/>
      <c r="F301"/>
      <c r="G301"/>
      <c r="H301"/>
      <c r="I301"/>
      <c r="J301"/>
      <c r="K301"/>
      <c r="L301"/>
      <c r="M301"/>
      <c r="N301"/>
    </row>
    <row r="302" spans="1:14" x14ac:dyDescent="0.25">
      <c r="A302"/>
      <c r="B302"/>
      <c r="C302"/>
      <c r="E302"/>
      <c r="F302"/>
      <c r="G302"/>
      <c r="H302"/>
      <c r="I302"/>
      <c r="J302"/>
      <c r="K302"/>
      <c r="L302"/>
      <c r="M302"/>
      <c r="N302"/>
    </row>
    <row r="303" spans="1:14" x14ac:dyDescent="0.25">
      <c r="A303"/>
      <c r="B303"/>
      <c r="C303"/>
      <c r="E303"/>
      <c r="F303"/>
      <c r="G303"/>
      <c r="H303"/>
      <c r="I303"/>
      <c r="J303"/>
      <c r="K303"/>
      <c r="L303"/>
      <c r="M303"/>
      <c r="N303"/>
    </row>
    <row r="304" spans="1:14" x14ac:dyDescent="0.25">
      <c r="A304"/>
      <c r="B304"/>
      <c r="C304"/>
      <c r="E304"/>
      <c r="F304"/>
      <c r="G304"/>
      <c r="H304"/>
      <c r="I304"/>
      <c r="J304"/>
      <c r="K304"/>
      <c r="L304"/>
      <c r="M304"/>
      <c r="N304"/>
    </row>
    <row r="305" spans="1:14" x14ac:dyDescent="0.25">
      <c r="A305"/>
      <c r="B305"/>
      <c r="C305"/>
      <c r="E305"/>
      <c r="F305"/>
      <c r="G305"/>
      <c r="H305"/>
      <c r="I305"/>
      <c r="J305"/>
      <c r="K305"/>
      <c r="L305"/>
      <c r="M305"/>
      <c r="N305"/>
    </row>
    <row r="306" spans="1:14" x14ac:dyDescent="0.25">
      <c r="A306"/>
      <c r="B306"/>
      <c r="C306"/>
      <c r="E306"/>
      <c r="F306"/>
      <c r="G306"/>
      <c r="H306"/>
      <c r="I306"/>
      <c r="J306"/>
      <c r="K306"/>
      <c r="L306"/>
      <c r="M306"/>
      <c r="N306"/>
    </row>
    <row r="307" spans="1:14" x14ac:dyDescent="0.25">
      <c r="A307"/>
      <c r="B307"/>
      <c r="C307"/>
      <c r="E307"/>
      <c r="F307"/>
      <c r="G307"/>
      <c r="H307"/>
      <c r="I307"/>
      <c r="J307"/>
      <c r="K307"/>
      <c r="L307"/>
      <c r="M307"/>
      <c r="N307"/>
    </row>
    <row r="308" spans="1:14" x14ac:dyDescent="0.25">
      <c r="A308"/>
      <c r="B308"/>
      <c r="C308"/>
      <c r="E308"/>
      <c r="F308"/>
      <c r="G308"/>
      <c r="H308"/>
      <c r="I308"/>
      <c r="J308"/>
      <c r="K308"/>
      <c r="L308"/>
      <c r="M308"/>
      <c r="N308"/>
    </row>
    <row r="309" spans="1:14" x14ac:dyDescent="0.25">
      <c r="A309"/>
      <c r="B309"/>
      <c r="C309"/>
      <c r="E309"/>
      <c r="F309"/>
      <c r="G309"/>
      <c r="H309"/>
      <c r="I309"/>
      <c r="J309"/>
      <c r="K309"/>
      <c r="L309"/>
      <c r="M309"/>
      <c r="N309"/>
    </row>
    <row r="310" spans="1:14" x14ac:dyDescent="0.25">
      <c r="A310"/>
      <c r="B310"/>
      <c r="C310"/>
      <c r="E310"/>
      <c r="F310"/>
      <c r="G310"/>
      <c r="H310"/>
      <c r="I310"/>
      <c r="J310"/>
      <c r="K310"/>
      <c r="L310"/>
      <c r="M310"/>
      <c r="N310"/>
    </row>
    <row r="311" spans="1:14" x14ac:dyDescent="0.25">
      <c r="A311"/>
      <c r="B311"/>
      <c r="C311"/>
      <c r="E311"/>
      <c r="F311"/>
      <c r="G311"/>
      <c r="H311"/>
      <c r="I311"/>
      <c r="J311"/>
      <c r="K311"/>
      <c r="L311"/>
      <c r="M311"/>
      <c r="N311"/>
    </row>
    <row r="312" spans="1:14" x14ac:dyDescent="0.25">
      <c r="A312"/>
      <c r="B312"/>
      <c r="C312"/>
      <c r="E312"/>
      <c r="F312"/>
      <c r="G312"/>
      <c r="H312"/>
      <c r="I312"/>
      <c r="J312"/>
      <c r="K312"/>
      <c r="L312"/>
      <c r="M312"/>
      <c r="N312"/>
    </row>
    <row r="313" spans="1:14" x14ac:dyDescent="0.25">
      <c r="A313"/>
      <c r="B313"/>
      <c r="C313"/>
      <c r="E313"/>
      <c r="F313"/>
      <c r="G313"/>
      <c r="H313"/>
      <c r="I313"/>
      <c r="J313"/>
      <c r="K313"/>
      <c r="L313"/>
      <c r="M313"/>
      <c r="N313"/>
    </row>
    <row r="314" spans="1:14" x14ac:dyDescent="0.25">
      <c r="A314"/>
      <c r="B314"/>
      <c r="C314"/>
      <c r="E314"/>
      <c r="F314"/>
      <c r="G314"/>
      <c r="H314"/>
      <c r="I314"/>
      <c r="J314"/>
      <c r="K314"/>
      <c r="L314"/>
      <c r="M314"/>
      <c r="N314"/>
    </row>
    <row r="315" spans="1:14" x14ac:dyDescent="0.25">
      <c r="A315"/>
      <c r="B315"/>
      <c r="C315"/>
      <c r="E315"/>
      <c r="F315"/>
      <c r="G315"/>
      <c r="H315"/>
      <c r="I315"/>
      <c r="J315"/>
      <c r="K315"/>
      <c r="L315"/>
      <c r="M315"/>
      <c r="N315"/>
    </row>
    <row r="316" spans="1:14" x14ac:dyDescent="0.25">
      <c r="A316"/>
      <c r="B316"/>
      <c r="C316"/>
      <c r="E316"/>
      <c r="F316"/>
      <c r="G316"/>
      <c r="H316"/>
      <c r="I316"/>
      <c r="J316"/>
      <c r="K316"/>
      <c r="L316"/>
      <c r="M316"/>
      <c r="N316"/>
    </row>
    <row r="317" spans="1:14" x14ac:dyDescent="0.25">
      <c r="A317"/>
      <c r="B317"/>
      <c r="C317"/>
      <c r="E317"/>
      <c r="F317"/>
      <c r="G317"/>
      <c r="H317"/>
      <c r="I317"/>
      <c r="J317"/>
      <c r="K317"/>
      <c r="L317"/>
      <c r="M317"/>
      <c r="N317"/>
    </row>
    <row r="318" spans="1:14" x14ac:dyDescent="0.25">
      <c r="A318"/>
      <c r="B318"/>
      <c r="C318"/>
      <c r="E318"/>
      <c r="F318"/>
      <c r="G318"/>
      <c r="H318"/>
      <c r="I318"/>
      <c r="J318"/>
      <c r="K318"/>
      <c r="L318"/>
      <c r="M318"/>
      <c r="N318"/>
    </row>
    <row r="319" spans="1:14" x14ac:dyDescent="0.25">
      <c r="A319"/>
      <c r="B319"/>
      <c r="C319"/>
      <c r="E319"/>
      <c r="F319"/>
      <c r="G319"/>
      <c r="H319"/>
      <c r="I319"/>
      <c r="J319"/>
      <c r="K319"/>
      <c r="L319"/>
      <c r="M319"/>
      <c r="N319"/>
    </row>
    <row r="320" spans="1:14" x14ac:dyDescent="0.25">
      <c r="A320"/>
      <c r="B320"/>
      <c r="C320"/>
      <c r="E320"/>
      <c r="F320"/>
      <c r="G320"/>
      <c r="H320"/>
      <c r="I320"/>
      <c r="J320"/>
      <c r="K320"/>
      <c r="L320"/>
      <c r="M320"/>
      <c r="N320"/>
    </row>
    <row r="321" spans="1:14" x14ac:dyDescent="0.25">
      <c r="A321"/>
      <c r="B321"/>
      <c r="C321"/>
      <c r="E321"/>
      <c r="F321"/>
      <c r="G321"/>
      <c r="H321"/>
      <c r="I321"/>
      <c r="J321"/>
      <c r="K321"/>
      <c r="L321"/>
      <c r="M321"/>
      <c r="N321"/>
    </row>
    <row r="322" spans="1:14" x14ac:dyDescent="0.25">
      <c r="A322"/>
      <c r="B322"/>
      <c r="C322"/>
      <c r="E322"/>
      <c r="F322"/>
      <c r="G322"/>
      <c r="H322"/>
      <c r="I322"/>
      <c r="J322"/>
      <c r="K322"/>
      <c r="L322"/>
      <c r="M322"/>
      <c r="N322"/>
    </row>
    <row r="323" spans="1:14" x14ac:dyDescent="0.25">
      <c r="A323"/>
      <c r="B323"/>
      <c r="C323"/>
      <c r="E323"/>
      <c r="F323"/>
      <c r="G323"/>
      <c r="H323"/>
      <c r="I323"/>
      <c r="J323"/>
      <c r="K323"/>
      <c r="L323"/>
      <c r="M323"/>
      <c r="N323"/>
    </row>
    <row r="324" spans="1:14" x14ac:dyDescent="0.25">
      <c r="A324"/>
      <c r="B324"/>
      <c r="C324"/>
      <c r="E324"/>
      <c r="F324"/>
      <c r="G324"/>
      <c r="H324"/>
      <c r="I324"/>
      <c r="J324"/>
      <c r="K324"/>
      <c r="L324"/>
      <c r="M324"/>
      <c r="N324"/>
    </row>
    <row r="325" spans="1:14" x14ac:dyDescent="0.25">
      <c r="A325"/>
      <c r="B325"/>
      <c r="C325"/>
      <c r="E325"/>
      <c r="F325"/>
      <c r="G325"/>
      <c r="H325"/>
      <c r="I325"/>
      <c r="J325"/>
      <c r="K325"/>
      <c r="L325"/>
      <c r="M325"/>
      <c r="N325"/>
    </row>
    <row r="326" spans="1:14" x14ac:dyDescent="0.25">
      <c r="A326"/>
      <c r="B326"/>
      <c r="C326"/>
      <c r="E326"/>
      <c r="F326"/>
      <c r="G326"/>
      <c r="H326"/>
      <c r="I326"/>
      <c r="J326"/>
      <c r="K326"/>
      <c r="L326"/>
      <c r="M326"/>
      <c r="N326"/>
    </row>
    <row r="327" spans="1:14" x14ac:dyDescent="0.25">
      <c r="A327"/>
      <c r="B327"/>
      <c r="C327"/>
      <c r="E327"/>
      <c r="F327"/>
      <c r="G327"/>
      <c r="H327"/>
      <c r="I327"/>
      <c r="J327"/>
      <c r="K327"/>
      <c r="L327"/>
      <c r="M327"/>
      <c r="N327"/>
    </row>
    <row r="328" spans="1:14" x14ac:dyDescent="0.25">
      <c r="A328"/>
      <c r="B328"/>
      <c r="C328"/>
      <c r="E328"/>
      <c r="F328"/>
      <c r="G328"/>
      <c r="H328"/>
      <c r="I328"/>
      <c r="J328"/>
      <c r="K328"/>
      <c r="L328"/>
      <c r="M328"/>
      <c r="N328"/>
    </row>
    <row r="329" spans="1:14" x14ac:dyDescent="0.25">
      <c r="A329"/>
      <c r="B329"/>
      <c r="C329"/>
      <c r="E329"/>
      <c r="F329"/>
      <c r="G329"/>
      <c r="H329"/>
      <c r="I329"/>
      <c r="J329"/>
      <c r="K329"/>
      <c r="L329"/>
      <c r="M329"/>
      <c r="N329"/>
    </row>
    <row r="330" spans="1:14" x14ac:dyDescent="0.25">
      <c r="A330"/>
      <c r="B330"/>
      <c r="C330"/>
      <c r="E330"/>
      <c r="F330"/>
      <c r="G330"/>
      <c r="H330"/>
      <c r="I330"/>
      <c r="J330"/>
      <c r="K330"/>
      <c r="L330"/>
      <c r="M330"/>
      <c r="N330"/>
    </row>
    <row r="331" spans="1:14" x14ac:dyDescent="0.25">
      <c r="A331"/>
      <c r="B331"/>
      <c r="C331"/>
      <c r="E331"/>
      <c r="F331"/>
      <c r="G331"/>
      <c r="H331"/>
      <c r="I331"/>
      <c r="J331"/>
      <c r="K331"/>
      <c r="L331"/>
      <c r="M331"/>
      <c r="N331"/>
    </row>
    <row r="332" spans="1:14" x14ac:dyDescent="0.25">
      <c r="A332"/>
      <c r="B332"/>
      <c r="C332"/>
      <c r="E332"/>
      <c r="F332"/>
      <c r="G332"/>
      <c r="H332"/>
      <c r="I332"/>
      <c r="J332"/>
      <c r="K332"/>
      <c r="L332"/>
      <c r="M332"/>
      <c r="N332"/>
    </row>
    <row r="333" spans="1:14" x14ac:dyDescent="0.25">
      <c r="A333"/>
      <c r="B333"/>
      <c r="C333"/>
      <c r="E333"/>
      <c r="F333"/>
      <c r="G333"/>
      <c r="H333"/>
      <c r="I333"/>
      <c r="J333"/>
      <c r="K333"/>
      <c r="L333"/>
      <c r="M333"/>
      <c r="N333"/>
    </row>
    <row r="334" spans="1:14" x14ac:dyDescent="0.25">
      <c r="A334"/>
      <c r="B334"/>
      <c r="C334"/>
      <c r="E334"/>
      <c r="F334"/>
      <c r="G334"/>
      <c r="H334"/>
      <c r="I334"/>
      <c r="J334"/>
      <c r="K334"/>
      <c r="L334"/>
      <c r="M334"/>
      <c r="N334"/>
    </row>
    <row r="335" spans="1:14" x14ac:dyDescent="0.25">
      <c r="A335"/>
      <c r="B335"/>
      <c r="C335"/>
      <c r="E335"/>
      <c r="F335"/>
      <c r="G335"/>
      <c r="H335"/>
      <c r="I335"/>
      <c r="J335"/>
      <c r="K335"/>
      <c r="L335"/>
      <c r="M335"/>
      <c r="N335"/>
    </row>
    <row r="336" spans="1:14" x14ac:dyDescent="0.25">
      <c r="A336"/>
      <c r="B336"/>
      <c r="C336"/>
      <c r="E336"/>
      <c r="F336"/>
      <c r="G336"/>
      <c r="H336"/>
      <c r="I336"/>
      <c r="J336"/>
      <c r="K336"/>
      <c r="L336"/>
      <c r="M336"/>
      <c r="N336"/>
    </row>
    <row r="337" spans="1:14" x14ac:dyDescent="0.25">
      <c r="A337"/>
      <c r="B337"/>
      <c r="C337"/>
      <c r="E337"/>
      <c r="F337"/>
      <c r="G337"/>
      <c r="H337"/>
      <c r="I337"/>
      <c r="J337"/>
      <c r="K337"/>
      <c r="L337"/>
      <c r="M337"/>
      <c r="N337"/>
    </row>
    <row r="338" spans="1:14" x14ac:dyDescent="0.25">
      <c r="A338"/>
      <c r="B338"/>
      <c r="C338"/>
      <c r="E338"/>
      <c r="F338"/>
      <c r="G338"/>
      <c r="H338"/>
      <c r="I338"/>
      <c r="J338"/>
      <c r="K338"/>
      <c r="L338"/>
      <c r="M338"/>
      <c r="N338"/>
    </row>
    <row r="339" spans="1:14" x14ac:dyDescent="0.25">
      <c r="A339"/>
      <c r="B339"/>
      <c r="C339"/>
      <c r="E339"/>
      <c r="F339"/>
      <c r="G339"/>
      <c r="H339"/>
      <c r="I339"/>
      <c r="J339"/>
      <c r="K339"/>
      <c r="L339"/>
      <c r="M339"/>
      <c r="N339"/>
    </row>
    <row r="340" spans="1:14" x14ac:dyDescent="0.25">
      <c r="A340"/>
      <c r="B340"/>
      <c r="C340"/>
      <c r="E340"/>
      <c r="F340"/>
      <c r="G340"/>
      <c r="H340"/>
      <c r="I340"/>
      <c r="J340"/>
      <c r="K340"/>
      <c r="L340"/>
      <c r="M340"/>
      <c r="N340"/>
    </row>
    <row r="341" spans="1:14" x14ac:dyDescent="0.25">
      <c r="A341"/>
      <c r="B341"/>
      <c r="C341"/>
      <c r="E341"/>
      <c r="F341"/>
      <c r="G341"/>
      <c r="H341"/>
      <c r="I341"/>
      <c r="J341"/>
      <c r="K341"/>
      <c r="L341"/>
      <c r="M341"/>
      <c r="N341"/>
    </row>
    <row r="342" spans="1:14" x14ac:dyDescent="0.25">
      <c r="A342"/>
      <c r="B342"/>
      <c r="C342"/>
      <c r="E342"/>
      <c r="F342"/>
      <c r="G342"/>
      <c r="H342"/>
      <c r="I342"/>
      <c r="J342"/>
      <c r="K342"/>
      <c r="L342"/>
      <c r="M342"/>
      <c r="N342"/>
    </row>
    <row r="343" spans="1:14" x14ac:dyDescent="0.25">
      <c r="A343"/>
      <c r="B343"/>
      <c r="C343"/>
      <c r="E343"/>
      <c r="F343"/>
      <c r="G343"/>
      <c r="H343"/>
      <c r="I343"/>
      <c r="J343"/>
      <c r="K343"/>
      <c r="L343"/>
      <c r="M343"/>
      <c r="N343"/>
    </row>
    <row r="344" spans="1:14" x14ac:dyDescent="0.25">
      <c r="A344"/>
      <c r="B344"/>
      <c r="C344"/>
      <c r="E344"/>
      <c r="F344"/>
      <c r="G344"/>
      <c r="H344"/>
      <c r="I344"/>
      <c r="J344"/>
      <c r="K344"/>
      <c r="L344"/>
      <c r="M344"/>
      <c r="N344"/>
    </row>
    <row r="345" spans="1:14" x14ac:dyDescent="0.25">
      <c r="A345"/>
      <c r="B345"/>
      <c r="C345"/>
      <c r="E345"/>
      <c r="F345"/>
      <c r="G345"/>
      <c r="H345"/>
      <c r="I345"/>
      <c r="J345"/>
      <c r="K345"/>
      <c r="L345"/>
      <c r="M345"/>
      <c r="N345"/>
    </row>
    <row r="346" spans="1:14" x14ac:dyDescent="0.25">
      <c r="A346"/>
      <c r="B346"/>
      <c r="C346"/>
      <c r="E346"/>
      <c r="F346"/>
      <c r="G346"/>
      <c r="H346"/>
      <c r="I346"/>
      <c r="J346"/>
      <c r="K346"/>
      <c r="L346"/>
      <c r="M346"/>
      <c r="N346"/>
    </row>
    <row r="347" spans="1:14" x14ac:dyDescent="0.25">
      <c r="A347"/>
      <c r="B347"/>
      <c r="C347"/>
      <c r="E347"/>
      <c r="F347"/>
      <c r="G347"/>
      <c r="H347"/>
      <c r="I347"/>
      <c r="J347"/>
      <c r="K347"/>
      <c r="L347"/>
      <c r="M347"/>
      <c r="N347"/>
    </row>
    <row r="348" spans="1:14" x14ac:dyDescent="0.25">
      <c r="A348"/>
      <c r="B348"/>
      <c r="C348"/>
      <c r="E348"/>
      <c r="F348"/>
      <c r="G348"/>
      <c r="H348"/>
      <c r="I348"/>
      <c r="J348"/>
      <c r="K348"/>
      <c r="L348"/>
      <c r="M348"/>
      <c r="N348"/>
    </row>
    <row r="349" spans="1:14" x14ac:dyDescent="0.25">
      <c r="A349"/>
      <c r="B349"/>
      <c r="C349"/>
      <c r="E349"/>
      <c r="F349"/>
      <c r="G349"/>
      <c r="H349"/>
      <c r="I349"/>
      <c r="J349"/>
      <c r="K349"/>
      <c r="L349"/>
      <c r="M349"/>
      <c r="N349"/>
    </row>
    <row r="350" spans="1:14" x14ac:dyDescent="0.25">
      <c r="A350"/>
      <c r="B350"/>
      <c r="C350"/>
      <c r="E350"/>
      <c r="F350"/>
      <c r="G350"/>
      <c r="H350"/>
      <c r="I350"/>
      <c r="J350"/>
      <c r="K350"/>
      <c r="L350"/>
      <c r="M350"/>
      <c r="N350"/>
    </row>
    <row r="351" spans="1:14" x14ac:dyDescent="0.25">
      <c r="A351"/>
      <c r="B351"/>
      <c r="C351"/>
      <c r="E351"/>
      <c r="F351"/>
      <c r="G351"/>
      <c r="H351"/>
      <c r="I351"/>
      <c r="J351"/>
      <c r="K351"/>
      <c r="L351"/>
      <c r="M351"/>
      <c r="N351"/>
    </row>
    <row r="352" spans="1:14" x14ac:dyDescent="0.25">
      <c r="A352"/>
      <c r="B352"/>
      <c r="C352"/>
      <c r="E352"/>
      <c r="F352"/>
      <c r="G352"/>
      <c r="H352"/>
      <c r="I352"/>
      <c r="J352"/>
      <c r="K352"/>
      <c r="L352"/>
      <c r="M352"/>
      <c r="N352"/>
    </row>
    <row r="353" spans="1:14" x14ac:dyDescent="0.25">
      <c r="A353"/>
      <c r="B353"/>
      <c r="C353"/>
      <c r="E353"/>
      <c r="F353"/>
      <c r="G353"/>
      <c r="H353"/>
      <c r="I353"/>
      <c r="J353"/>
      <c r="K353"/>
      <c r="L353"/>
      <c r="M353"/>
      <c r="N353"/>
    </row>
    <row r="354" spans="1:14" x14ac:dyDescent="0.25">
      <c r="A354"/>
      <c r="B354"/>
      <c r="C354"/>
      <c r="E354"/>
      <c r="F354"/>
      <c r="G354"/>
      <c r="H354"/>
      <c r="I354"/>
      <c r="J354"/>
      <c r="K354"/>
      <c r="L354"/>
      <c r="M354"/>
      <c r="N354"/>
    </row>
    <row r="355" spans="1:14" x14ac:dyDescent="0.25">
      <c r="A355"/>
      <c r="B355"/>
      <c r="C355"/>
      <c r="E355"/>
      <c r="F355"/>
      <c r="G355"/>
      <c r="H355"/>
      <c r="I355"/>
      <c r="J355"/>
      <c r="K355"/>
      <c r="L355"/>
      <c r="M355"/>
      <c r="N355"/>
    </row>
    <row r="356" spans="1:14" x14ac:dyDescent="0.25">
      <c r="A356"/>
      <c r="B356"/>
      <c r="C356"/>
      <c r="E356"/>
      <c r="F356"/>
      <c r="G356"/>
      <c r="H356"/>
      <c r="I356"/>
      <c r="J356"/>
      <c r="K356"/>
      <c r="L356"/>
      <c r="M356"/>
      <c r="N356"/>
    </row>
    <row r="357" spans="1:14" x14ac:dyDescent="0.25">
      <c r="A357"/>
      <c r="B357"/>
      <c r="C357"/>
      <c r="E357"/>
      <c r="F357"/>
      <c r="G357"/>
      <c r="H357"/>
      <c r="I357"/>
      <c r="J357"/>
      <c r="K357"/>
      <c r="L357"/>
      <c r="M357"/>
      <c r="N357"/>
    </row>
    <row r="358" spans="1:14" x14ac:dyDescent="0.25">
      <c r="A358"/>
      <c r="B358"/>
      <c r="C358"/>
      <c r="E358"/>
      <c r="F358"/>
      <c r="G358"/>
      <c r="H358"/>
      <c r="I358"/>
      <c r="J358"/>
      <c r="K358"/>
      <c r="L358"/>
      <c r="M358"/>
      <c r="N358"/>
    </row>
    <row r="359" spans="1:14" x14ac:dyDescent="0.25">
      <c r="A359"/>
      <c r="B359"/>
      <c r="C359"/>
      <c r="E359"/>
      <c r="F359"/>
      <c r="G359"/>
      <c r="H359"/>
      <c r="I359"/>
      <c r="J359"/>
      <c r="K359"/>
      <c r="L359"/>
      <c r="M359"/>
      <c r="N359"/>
    </row>
    <row r="360" spans="1:14" x14ac:dyDescent="0.25">
      <c r="A360"/>
      <c r="B360"/>
      <c r="C360"/>
      <c r="E360"/>
      <c r="F360"/>
      <c r="G360"/>
      <c r="H360"/>
      <c r="I360"/>
      <c r="J360"/>
      <c r="K360"/>
      <c r="L360"/>
      <c r="M360"/>
      <c r="N360"/>
    </row>
    <row r="361" spans="1:14" x14ac:dyDescent="0.25">
      <c r="A361"/>
      <c r="B361"/>
      <c r="C361"/>
      <c r="E361"/>
      <c r="F361"/>
      <c r="G361"/>
      <c r="H361"/>
      <c r="I361"/>
      <c r="J361"/>
      <c r="K361"/>
      <c r="L361"/>
      <c r="M361"/>
      <c r="N361"/>
    </row>
    <row r="362" spans="1:14" x14ac:dyDescent="0.25">
      <c r="A362"/>
      <c r="B362"/>
      <c r="C362"/>
      <c r="E362"/>
      <c r="F362"/>
      <c r="G362"/>
      <c r="H362"/>
      <c r="I362"/>
      <c r="J362"/>
      <c r="K362"/>
      <c r="L362"/>
      <c r="M362"/>
      <c r="N362"/>
    </row>
    <row r="363" spans="1:14" x14ac:dyDescent="0.25">
      <c r="A363"/>
      <c r="B363"/>
      <c r="C363"/>
      <c r="E363"/>
      <c r="F363"/>
      <c r="G363"/>
      <c r="H363"/>
      <c r="I363"/>
      <c r="J363"/>
      <c r="K363"/>
      <c r="L363"/>
      <c r="M363"/>
      <c r="N363"/>
    </row>
    <row r="364" spans="1:14" x14ac:dyDescent="0.25">
      <c r="A364"/>
      <c r="B364"/>
      <c r="C364"/>
      <c r="E364"/>
      <c r="F364"/>
      <c r="G364"/>
      <c r="H364"/>
      <c r="I364"/>
      <c r="J364"/>
      <c r="K364"/>
      <c r="L364"/>
      <c r="M364"/>
      <c r="N364"/>
    </row>
    <row r="365" spans="1:14" x14ac:dyDescent="0.25">
      <c r="A365"/>
      <c r="B365"/>
      <c r="C365"/>
      <c r="E365"/>
      <c r="F365"/>
      <c r="G365"/>
      <c r="H365"/>
      <c r="I365"/>
      <c r="J365"/>
      <c r="K365"/>
      <c r="L365"/>
      <c r="M365"/>
      <c r="N365"/>
    </row>
    <row r="366" spans="1:14" x14ac:dyDescent="0.25">
      <c r="A366"/>
      <c r="B366"/>
      <c r="C366"/>
      <c r="E366"/>
      <c r="F366"/>
      <c r="G366"/>
      <c r="H366"/>
      <c r="I366"/>
      <c r="J366"/>
      <c r="K366"/>
      <c r="L366"/>
      <c r="M366"/>
      <c r="N366"/>
    </row>
    <row r="367" spans="1:14" x14ac:dyDescent="0.25">
      <c r="A367"/>
      <c r="B367"/>
      <c r="C367"/>
      <c r="E367"/>
      <c r="F367"/>
      <c r="G367"/>
      <c r="H367"/>
      <c r="I367"/>
      <c r="J367"/>
      <c r="K367"/>
      <c r="L367"/>
      <c r="M367"/>
      <c r="N367"/>
    </row>
    <row r="368" spans="1:14" x14ac:dyDescent="0.25">
      <c r="A368"/>
      <c r="B368"/>
      <c r="C368"/>
      <c r="E368"/>
      <c r="F368"/>
      <c r="G368"/>
      <c r="H368"/>
      <c r="I368"/>
      <c r="J368"/>
      <c r="K368"/>
      <c r="L368"/>
      <c r="M368"/>
      <c r="N368"/>
    </row>
    <row r="369" spans="1:14" x14ac:dyDescent="0.25">
      <c r="A369"/>
      <c r="B369"/>
      <c r="C369"/>
      <c r="E369"/>
      <c r="F369"/>
      <c r="G369"/>
      <c r="H369"/>
      <c r="I369"/>
      <c r="J369"/>
      <c r="K369"/>
      <c r="L369"/>
      <c r="M369"/>
      <c r="N369"/>
    </row>
    <row r="370" spans="1:14" x14ac:dyDescent="0.25">
      <c r="A370"/>
      <c r="B370"/>
      <c r="C370"/>
      <c r="E370"/>
      <c r="F370"/>
      <c r="G370"/>
      <c r="H370"/>
      <c r="I370"/>
      <c r="J370"/>
      <c r="K370"/>
      <c r="L370"/>
      <c r="M370"/>
      <c r="N370"/>
    </row>
    <row r="371" spans="1:14" x14ac:dyDescent="0.25">
      <c r="A371"/>
      <c r="B371"/>
      <c r="C371"/>
      <c r="E371"/>
      <c r="F371"/>
      <c r="G371"/>
      <c r="H371"/>
      <c r="I371"/>
      <c r="J371"/>
      <c r="K371"/>
      <c r="L371"/>
      <c r="M371"/>
      <c r="N371"/>
    </row>
    <row r="372" spans="1:14" x14ac:dyDescent="0.25">
      <c r="A372"/>
      <c r="B372"/>
      <c r="C372"/>
      <c r="E372"/>
      <c r="F372"/>
      <c r="G372"/>
      <c r="H372"/>
      <c r="I372"/>
      <c r="J372"/>
      <c r="K372"/>
      <c r="L372"/>
      <c r="M372"/>
      <c r="N372"/>
    </row>
    <row r="373" spans="1:14" x14ac:dyDescent="0.25">
      <c r="A373"/>
      <c r="B373"/>
      <c r="C373"/>
      <c r="E373"/>
      <c r="F373"/>
      <c r="G373"/>
      <c r="H373"/>
      <c r="I373"/>
      <c r="J373"/>
      <c r="K373"/>
      <c r="L373"/>
      <c r="M373"/>
      <c r="N373"/>
    </row>
    <row r="374" spans="1:14" x14ac:dyDescent="0.25">
      <c r="A374"/>
      <c r="B374"/>
      <c r="C374"/>
      <c r="E374"/>
      <c r="F374"/>
      <c r="G374"/>
      <c r="H374"/>
      <c r="I374"/>
      <c r="J374"/>
      <c r="K374"/>
      <c r="L374"/>
      <c r="M374"/>
      <c r="N374"/>
    </row>
    <row r="375" spans="1:14" x14ac:dyDescent="0.25">
      <c r="A375"/>
      <c r="B375"/>
      <c r="C375"/>
      <c r="E375"/>
      <c r="F375"/>
      <c r="G375"/>
      <c r="H375"/>
      <c r="I375"/>
      <c r="J375"/>
      <c r="K375"/>
      <c r="L375"/>
      <c r="M375"/>
      <c r="N375"/>
    </row>
    <row r="376" spans="1:14" x14ac:dyDescent="0.25">
      <c r="A376"/>
      <c r="B376"/>
      <c r="C376"/>
      <c r="E376"/>
      <c r="F376"/>
      <c r="G376"/>
      <c r="H376"/>
      <c r="I376"/>
      <c r="J376"/>
      <c r="K376"/>
      <c r="L376"/>
      <c r="M376"/>
      <c r="N376"/>
    </row>
    <row r="377" spans="1:14" x14ac:dyDescent="0.25">
      <c r="A377"/>
      <c r="B377"/>
      <c r="C377"/>
      <c r="E377"/>
      <c r="F377"/>
      <c r="G377"/>
      <c r="H377"/>
      <c r="I377"/>
      <c r="J377"/>
      <c r="K377"/>
      <c r="L377"/>
      <c r="M377"/>
      <c r="N377"/>
    </row>
    <row r="378" spans="1:14" x14ac:dyDescent="0.25">
      <c r="A378"/>
      <c r="B378"/>
      <c r="C378"/>
      <c r="E378"/>
      <c r="F378"/>
      <c r="G378"/>
      <c r="H378"/>
      <c r="I378"/>
      <c r="J378"/>
      <c r="K378"/>
      <c r="L378"/>
      <c r="M378"/>
      <c r="N378"/>
    </row>
    <row r="379" spans="1:14" x14ac:dyDescent="0.25">
      <c r="A379"/>
      <c r="B379"/>
      <c r="C379"/>
      <c r="E379"/>
      <c r="F379"/>
      <c r="G379"/>
      <c r="H379"/>
      <c r="I379"/>
      <c r="J379"/>
      <c r="K379"/>
      <c r="L379"/>
      <c r="M379"/>
      <c r="N379"/>
    </row>
    <row r="380" spans="1:14" x14ac:dyDescent="0.25">
      <c r="A380"/>
      <c r="B380"/>
      <c r="C380"/>
      <c r="E380"/>
      <c r="F380"/>
      <c r="G380"/>
      <c r="H380"/>
      <c r="I380"/>
      <c r="J380"/>
      <c r="K380"/>
      <c r="L380"/>
      <c r="M380"/>
      <c r="N380"/>
    </row>
    <row r="381" spans="1:14" x14ac:dyDescent="0.25">
      <c r="A381"/>
      <c r="B381"/>
      <c r="C381"/>
      <c r="E381"/>
      <c r="F381"/>
      <c r="G381"/>
      <c r="H381"/>
      <c r="I381"/>
      <c r="J381"/>
      <c r="K381"/>
      <c r="L381"/>
      <c r="M381"/>
      <c r="N381"/>
    </row>
    <row r="382" spans="1:14" x14ac:dyDescent="0.25">
      <c r="A382"/>
      <c r="B382"/>
      <c r="C382"/>
      <c r="E382"/>
      <c r="F382"/>
      <c r="G382"/>
      <c r="H382"/>
      <c r="I382"/>
      <c r="J382"/>
      <c r="K382"/>
      <c r="L382"/>
      <c r="M382"/>
      <c r="N382"/>
    </row>
    <row r="383" spans="1:14" x14ac:dyDescent="0.25">
      <c r="A383"/>
      <c r="B383"/>
      <c r="C383"/>
      <c r="E383"/>
      <c r="F383"/>
      <c r="G383"/>
      <c r="H383"/>
      <c r="I383"/>
      <c r="J383"/>
      <c r="K383"/>
      <c r="L383"/>
      <c r="M383"/>
      <c r="N383"/>
    </row>
    <row r="384" spans="1:14" x14ac:dyDescent="0.25">
      <c r="A384"/>
      <c r="B384"/>
      <c r="C384"/>
      <c r="E384"/>
      <c r="F384"/>
      <c r="G384"/>
      <c r="H384"/>
      <c r="I384"/>
      <c r="J384"/>
      <c r="K384"/>
      <c r="L384"/>
      <c r="M384"/>
      <c r="N384"/>
    </row>
    <row r="385" spans="1:14" x14ac:dyDescent="0.25">
      <c r="A385"/>
      <c r="B385"/>
      <c r="C385"/>
      <c r="E385"/>
      <c r="F385"/>
      <c r="G385"/>
      <c r="H385"/>
      <c r="I385"/>
      <c r="J385"/>
      <c r="K385"/>
      <c r="L385"/>
      <c r="M385"/>
      <c r="N385"/>
    </row>
    <row r="386" spans="1:14" x14ac:dyDescent="0.25">
      <c r="A386"/>
      <c r="B386"/>
      <c r="C386"/>
      <c r="E386"/>
      <c r="F386"/>
      <c r="G386"/>
      <c r="H386"/>
      <c r="I386"/>
      <c r="J386"/>
      <c r="K386"/>
      <c r="L386"/>
      <c r="M386"/>
      <c r="N386"/>
    </row>
    <row r="387" spans="1:14" x14ac:dyDescent="0.25">
      <c r="A387"/>
      <c r="B387"/>
      <c r="C387"/>
      <c r="E387"/>
      <c r="F387"/>
      <c r="G387"/>
      <c r="H387"/>
      <c r="I387"/>
      <c r="J387"/>
      <c r="K387"/>
      <c r="L387"/>
      <c r="M387"/>
      <c r="N387"/>
    </row>
    <row r="388" spans="1:14" x14ac:dyDescent="0.25">
      <c r="A388"/>
      <c r="B388"/>
      <c r="C388"/>
      <c r="E388"/>
      <c r="F388"/>
      <c r="G388"/>
      <c r="H388"/>
      <c r="I388"/>
      <c r="J388"/>
      <c r="K388"/>
      <c r="L388"/>
      <c r="M388"/>
      <c r="N388"/>
    </row>
    <row r="389" spans="1:14" x14ac:dyDescent="0.25">
      <c r="A389"/>
      <c r="B389"/>
      <c r="C389"/>
      <c r="E389"/>
      <c r="F389"/>
      <c r="G389"/>
      <c r="H389"/>
      <c r="I389"/>
      <c r="J389"/>
      <c r="K389"/>
      <c r="L389"/>
      <c r="M389"/>
      <c r="N389"/>
    </row>
    <row r="390" spans="1:14" x14ac:dyDescent="0.25">
      <c r="A390"/>
      <c r="B390"/>
      <c r="C390"/>
      <c r="E390"/>
      <c r="F390"/>
      <c r="G390"/>
      <c r="H390"/>
      <c r="I390"/>
      <c r="J390"/>
      <c r="K390"/>
      <c r="L390"/>
      <c r="M390"/>
      <c r="N390"/>
    </row>
    <row r="391" spans="1:14" x14ac:dyDescent="0.25">
      <c r="A391"/>
      <c r="B391"/>
      <c r="C391"/>
      <c r="E391"/>
      <c r="F391"/>
      <c r="G391"/>
      <c r="H391"/>
      <c r="I391"/>
      <c r="J391"/>
      <c r="K391"/>
      <c r="L391"/>
      <c r="M391"/>
      <c r="N391"/>
    </row>
    <row r="392" spans="1:14" x14ac:dyDescent="0.25">
      <c r="A392"/>
      <c r="B392"/>
      <c r="C392"/>
      <c r="E392"/>
      <c r="F392"/>
      <c r="G392"/>
      <c r="H392"/>
      <c r="I392"/>
      <c r="J392"/>
      <c r="K392"/>
      <c r="L392"/>
      <c r="M392"/>
      <c r="N392"/>
    </row>
    <row r="393" spans="1:14" x14ac:dyDescent="0.25">
      <c r="A393"/>
      <c r="B393"/>
      <c r="C393"/>
      <c r="E393"/>
      <c r="F393"/>
      <c r="G393"/>
      <c r="H393"/>
      <c r="I393"/>
      <c r="J393"/>
      <c r="K393"/>
      <c r="L393"/>
      <c r="M393"/>
      <c r="N393"/>
    </row>
    <row r="394" spans="1:14" x14ac:dyDescent="0.25">
      <c r="A394"/>
      <c r="B394"/>
      <c r="C394"/>
      <c r="E394"/>
      <c r="F394"/>
      <c r="G394"/>
      <c r="H394"/>
      <c r="I394"/>
      <c r="J394"/>
      <c r="K394"/>
      <c r="L394"/>
      <c r="M394"/>
      <c r="N394"/>
    </row>
    <row r="395" spans="1:14" x14ac:dyDescent="0.25">
      <c r="A395"/>
      <c r="B395"/>
      <c r="C395"/>
      <c r="E395"/>
      <c r="F395"/>
      <c r="G395"/>
      <c r="H395"/>
      <c r="I395"/>
      <c r="J395"/>
      <c r="K395"/>
      <c r="L395"/>
      <c r="M395"/>
      <c r="N395"/>
    </row>
    <row r="396" spans="1:14" x14ac:dyDescent="0.25">
      <c r="A396"/>
      <c r="B396"/>
      <c r="C396"/>
      <c r="E396"/>
      <c r="F396"/>
      <c r="G396"/>
      <c r="H396"/>
      <c r="I396"/>
      <c r="J396"/>
      <c r="K396"/>
      <c r="L396"/>
      <c r="M396"/>
      <c r="N396"/>
    </row>
    <row r="397" spans="1:14" x14ac:dyDescent="0.25">
      <c r="A397"/>
      <c r="B397"/>
      <c r="C397"/>
      <c r="E397"/>
      <c r="F397"/>
      <c r="G397"/>
      <c r="H397"/>
      <c r="I397"/>
      <c r="J397"/>
      <c r="K397"/>
      <c r="L397"/>
      <c r="M397"/>
      <c r="N397"/>
    </row>
    <row r="398" spans="1:14" x14ac:dyDescent="0.25">
      <c r="A398"/>
      <c r="B398"/>
      <c r="C398"/>
      <c r="E398"/>
      <c r="F398"/>
      <c r="G398"/>
      <c r="H398"/>
      <c r="I398"/>
      <c r="J398"/>
      <c r="K398"/>
      <c r="L398"/>
      <c r="M398"/>
      <c r="N398"/>
    </row>
    <row r="399" spans="1:14" x14ac:dyDescent="0.25">
      <c r="A399"/>
      <c r="B399"/>
      <c r="C399"/>
      <c r="E399"/>
      <c r="F399"/>
      <c r="G399"/>
      <c r="H399"/>
      <c r="I399"/>
      <c r="J399"/>
      <c r="K399"/>
      <c r="L399"/>
      <c r="M399"/>
      <c r="N399"/>
    </row>
    <row r="400" spans="1:14" x14ac:dyDescent="0.25">
      <c r="A400"/>
      <c r="B400"/>
      <c r="C400"/>
      <c r="E400"/>
      <c r="F400"/>
      <c r="G400"/>
      <c r="H400"/>
      <c r="I400"/>
      <c r="J400"/>
      <c r="K400"/>
      <c r="L400"/>
      <c r="M400"/>
      <c r="N400"/>
    </row>
    <row r="401" spans="1:14" x14ac:dyDescent="0.25">
      <c r="A401"/>
      <c r="B401"/>
      <c r="C401"/>
      <c r="E401"/>
      <c r="F401"/>
      <c r="G401"/>
      <c r="H401"/>
      <c r="I401"/>
      <c r="J401"/>
      <c r="K401"/>
      <c r="L401"/>
      <c r="M401"/>
      <c r="N401"/>
    </row>
    <row r="402" spans="1:14" x14ac:dyDescent="0.25">
      <c r="A402"/>
      <c r="B402"/>
      <c r="C402"/>
      <c r="E402"/>
      <c r="F402"/>
      <c r="G402"/>
      <c r="H402"/>
      <c r="I402"/>
      <c r="J402"/>
      <c r="K402"/>
      <c r="L402"/>
      <c r="M402"/>
      <c r="N402"/>
    </row>
    <row r="403" spans="1:14" x14ac:dyDescent="0.25">
      <c r="A403"/>
      <c r="B403"/>
      <c r="C403"/>
      <c r="E403"/>
      <c r="F403"/>
      <c r="G403"/>
      <c r="H403"/>
      <c r="I403"/>
      <c r="J403"/>
      <c r="K403"/>
      <c r="L403"/>
      <c r="M403"/>
      <c r="N403"/>
    </row>
    <row r="404" spans="1:14" x14ac:dyDescent="0.25">
      <c r="A404"/>
      <c r="B404"/>
      <c r="C404"/>
      <c r="E404"/>
      <c r="F404"/>
      <c r="G404"/>
      <c r="H404"/>
      <c r="I404"/>
      <c r="J404"/>
      <c r="K404"/>
      <c r="L404"/>
      <c r="M404"/>
      <c r="N404"/>
    </row>
    <row r="405" spans="1:14" x14ac:dyDescent="0.25">
      <c r="A405"/>
      <c r="B405"/>
      <c r="C405"/>
      <c r="E405"/>
      <c r="F405"/>
      <c r="G405"/>
      <c r="H405"/>
      <c r="I405"/>
      <c r="J405"/>
      <c r="K405"/>
      <c r="L405"/>
      <c r="M405"/>
      <c r="N405"/>
    </row>
    <row r="406" spans="1:14" x14ac:dyDescent="0.25">
      <c r="A406"/>
      <c r="B406"/>
      <c r="C406"/>
      <c r="E406"/>
      <c r="F406"/>
      <c r="G406"/>
      <c r="H406"/>
      <c r="I406"/>
      <c r="J406"/>
      <c r="K406"/>
      <c r="L406"/>
      <c r="M406"/>
      <c r="N406"/>
    </row>
    <row r="407" spans="1:14" x14ac:dyDescent="0.25">
      <c r="A407"/>
      <c r="B407"/>
      <c r="C407"/>
      <c r="E407"/>
      <c r="F407"/>
      <c r="G407"/>
      <c r="H407"/>
      <c r="I407"/>
      <c r="J407"/>
      <c r="K407"/>
      <c r="L407"/>
      <c r="M407"/>
      <c r="N407"/>
    </row>
    <row r="408" spans="1:14" x14ac:dyDescent="0.25">
      <c r="A408"/>
      <c r="B408"/>
      <c r="C408"/>
      <c r="E408"/>
      <c r="F408"/>
      <c r="G408"/>
      <c r="H408"/>
      <c r="I408"/>
      <c r="J408"/>
      <c r="K408"/>
      <c r="L408"/>
      <c r="M408"/>
      <c r="N408"/>
    </row>
    <row r="409" spans="1:14" x14ac:dyDescent="0.25">
      <c r="A409"/>
      <c r="B409"/>
      <c r="C409"/>
      <c r="E409"/>
      <c r="F409"/>
      <c r="G409"/>
      <c r="H409"/>
      <c r="I409"/>
      <c r="J409"/>
      <c r="K409"/>
      <c r="L409"/>
      <c r="M409"/>
      <c r="N409"/>
    </row>
    <row r="410" spans="1:14" x14ac:dyDescent="0.25">
      <c r="A410"/>
      <c r="B410"/>
      <c r="C410"/>
      <c r="E410"/>
      <c r="F410"/>
      <c r="G410"/>
      <c r="H410"/>
      <c r="I410"/>
      <c r="J410"/>
      <c r="K410"/>
      <c r="L410"/>
      <c r="M410"/>
      <c r="N410"/>
    </row>
    <row r="411" spans="1:14" x14ac:dyDescent="0.25">
      <c r="A411"/>
      <c r="B411"/>
      <c r="C411"/>
      <c r="E411"/>
      <c r="F411"/>
      <c r="G411"/>
      <c r="H411"/>
      <c r="I411"/>
      <c r="J411"/>
      <c r="K411"/>
      <c r="L411"/>
      <c r="M411"/>
      <c r="N411"/>
    </row>
    <row r="412" spans="1:14" x14ac:dyDescent="0.25">
      <c r="A412"/>
      <c r="B412"/>
      <c r="C412"/>
      <c r="E412"/>
      <c r="F412"/>
      <c r="G412"/>
      <c r="H412"/>
      <c r="I412"/>
      <c r="J412"/>
      <c r="K412"/>
      <c r="L412"/>
      <c r="M412"/>
      <c r="N412"/>
    </row>
    <row r="413" spans="1:14" x14ac:dyDescent="0.25">
      <c r="A413"/>
      <c r="B413"/>
      <c r="C413"/>
      <c r="E413"/>
      <c r="F413"/>
      <c r="G413"/>
      <c r="H413"/>
      <c r="I413"/>
      <c r="J413"/>
      <c r="K413"/>
      <c r="L413"/>
      <c r="M413"/>
      <c r="N413"/>
    </row>
    <row r="414" spans="1:14" x14ac:dyDescent="0.25">
      <c r="A414"/>
      <c r="B414"/>
      <c r="C414"/>
      <c r="E414"/>
      <c r="F414"/>
      <c r="G414"/>
      <c r="H414"/>
      <c r="I414"/>
      <c r="J414"/>
      <c r="K414"/>
      <c r="L414"/>
      <c r="M414"/>
      <c r="N414"/>
    </row>
    <row r="415" spans="1:14" x14ac:dyDescent="0.25">
      <c r="A415"/>
      <c r="B415"/>
      <c r="C415"/>
      <c r="E415"/>
      <c r="F415"/>
      <c r="G415"/>
      <c r="H415"/>
      <c r="I415"/>
      <c r="J415"/>
      <c r="K415"/>
      <c r="L415"/>
      <c r="M415"/>
      <c r="N415"/>
    </row>
    <row r="416" spans="1:14" x14ac:dyDescent="0.25">
      <c r="A416"/>
      <c r="B416"/>
      <c r="C416"/>
      <c r="E416"/>
      <c r="F416"/>
      <c r="G416"/>
      <c r="H416"/>
      <c r="I416"/>
      <c r="J416"/>
      <c r="K416"/>
      <c r="L416"/>
      <c r="M416"/>
      <c r="N416"/>
    </row>
    <row r="417" spans="1:14" x14ac:dyDescent="0.25">
      <c r="A417"/>
      <c r="B417"/>
      <c r="C417"/>
      <c r="E417"/>
      <c r="F417"/>
      <c r="G417"/>
      <c r="H417"/>
      <c r="I417"/>
      <c r="J417"/>
      <c r="K417"/>
      <c r="L417"/>
      <c r="M417"/>
      <c r="N417"/>
    </row>
    <row r="418" spans="1:14" x14ac:dyDescent="0.25">
      <c r="A418"/>
      <c r="B418"/>
      <c r="C418"/>
      <c r="E418"/>
      <c r="F418"/>
      <c r="G418"/>
      <c r="H418"/>
      <c r="I418"/>
      <c r="J418"/>
      <c r="K418"/>
      <c r="L418"/>
      <c r="M418"/>
      <c r="N418"/>
    </row>
    <row r="419" spans="1:14" x14ac:dyDescent="0.25">
      <c r="A419"/>
      <c r="B419"/>
      <c r="C419"/>
      <c r="E419"/>
      <c r="F419"/>
      <c r="G419"/>
      <c r="H419"/>
      <c r="I419"/>
      <c r="J419"/>
      <c r="K419"/>
      <c r="L419"/>
      <c r="M419"/>
      <c r="N419"/>
    </row>
    <row r="420" spans="1:14" x14ac:dyDescent="0.25">
      <c r="A420"/>
      <c r="B420"/>
      <c r="C420"/>
      <c r="E420"/>
      <c r="F420"/>
      <c r="G420"/>
      <c r="H420"/>
      <c r="I420"/>
      <c r="J420"/>
      <c r="K420"/>
      <c r="L420"/>
      <c r="M420"/>
      <c r="N420"/>
    </row>
    <row r="421" spans="1:14" x14ac:dyDescent="0.25">
      <c r="A421"/>
      <c r="B421"/>
      <c r="C421"/>
      <c r="E421"/>
      <c r="F421"/>
      <c r="G421"/>
      <c r="H421"/>
      <c r="I421"/>
      <c r="J421"/>
      <c r="K421"/>
      <c r="L421"/>
      <c r="M421"/>
      <c r="N421"/>
    </row>
    <row r="422" spans="1:14" x14ac:dyDescent="0.25">
      <c r="A422"/>
      <c r="B422"/>
      <c r="C422"/>
      <c r="E422"/>
      <c r="F422"/>
      <c r="G422"/>
      <c r="H422"/>
      <c r="I422"/>
      <c r="J422"/>
      <c r="K422"/>
      <c r="L422"/>
      <c r="M422"/>
      <c r="N422"/>
    </row>
    <row r="423" spans="1:14" x14ac:dyDescent="0.25">
      <c r="A423"/>
      <c r="B423"/>
      <c r="C423"/>
      <c r="E423"/>
      <c r="F423"/>
      <c r="G423"/>
      <c r="H423"/>
      <c r="I423"/>
      <c r="J423"/>
      <c r="K423"/>
      <c r="L423"/>
      <c r="M423"/>
      <c r="N423"/>
    </row>
    <row r="424" spans="1:14" x14ac:dyDescent="0.25">
      <c r="A424"/>
      <c r="B424"/>
      <c r="C424"/>
      <c r="E424"/>
      <c r="F424"/>
      <c r="G424"/>
      <c r="H424"/>
      <c r="I424"/>
      <c r="J424"/>
      <c r="K424"/>
      <c r="L424"/>
      <c r="M424"/>
      <c r="N424"/>
    </row>
    <row r="425" spans="1:14" x14ac:dyDescent="0.25">
      <c r="A425"/>
      <c r="B425"/>
      <c r="C425"/>
      <c r="E425"/>
      <c r="F425"/>
      <c r="G425"/>
      <c r="H425"/>
      <c r="I425"/>
      <c r="J425"/>
      <c r="K425"/>
      <c r="L425"/>
      <c r="M425"/>
      <c r="N425"/>
    </row>
    <row r="426" spans="1:14" x14ac:dyDescent="0.25">
      <c r="A426"/>
      <c r="B426"/>
      <c r="C426"/>
      <c r="E426"/>
      <c r="F426"/>
      <c r="G426"/>
      <c r="H426"/>
      <c r="I426"/>
      <c r="J426"/>
      <c r="K426"/>
      <c r="L426"/>
      <c r="M426"/>
      <c r="N42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4D474-4E56-4E85-9597-D8A471412856}">
  <sheetPr codeName="Sheet2"/>
  <dimension ref="A1:AK35"/>
  <sheetViews>
    <sheetView workbookViewId="0">
      <selection activeCell="Z10" sqref="Z10"/>
    </sheetView>
  </sheetViews>
  <sheetFormatPr defaultRowHeight="15" x14ac:dyDescent="0.25"/>
  <cols>
    <col min="1" max="3" width="9.140625" style="1"/>
    <col min="4" max="4" width="4.140625" customWidth="1"/>
    <col min="5" max="9" width="9.140625" style="1"/>
    <col min="10" max="10" width="9.140625" style="1" bestFit="1" customWidth="1"/>
    <col min="11" max="13" width="10.140625" style="1" bestFit="1" customWidth="1"/>
    <col min="14" max="14" width="11.140625" customWidth="1"/>
    <col min="16" max="16" width="9.140625" customWidth="1"/>
    <col min="17" max="24" width="2" customWidth="1"/>
    <col min="28" max="35" width="2" customWidth="1"/>
  </cols>
  <sheetData>
    <row r="1" spans="1:37" s="3" customFormat="1" ht="30" x14ac:dyDescent="0.25">
      <c r="A1" s="2" t="s">
        <v>16</v>
      </c>
      <c r="B1" s="2" t="s">
        <v>14</v>
      </c>
      <c r="C1" s="2" t="s">
        <v>15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13</v>
      </c>
      <c r="J1" s="2" t="s">
        <v>10</v>
      </c>
      <c r="K1" s="2" t="s">
        <v>7</v>
      </c>
      <c r="L1" s="2" t="s">
        <v>8</v>
      </c>
      <c r="M1" s="2" t="s">
        <v>9</v>
      </c>
      <c r="N1" s="2" t="s">
        <v>11</v>
      </c>
    </row>
    <row r="2" spans="1:37" x14ac:dyDescent="0.25">
      <c r="A2" s="1">
        <v>1</v>
      </c>
      <c r="B2" s="1">
        <v>0</v>
      </c>
      <c r="C2" s="1">
        <v>0</v>
      </c>
      <c r="E2" s="1">
        <v>1</v>
      </c>
      <c r="F2" s="1">
        <v>1</v>
      </c>
      <c r="G2" s="1">
        <v>1</v>
      </c>
      <c r="H2" s="1">
        <f>(E2*A2)+(F2*B2)+(G2*C2)</f>
        <v>1</v>
      </c>
      <c r="I2" s="1">
        <f t="shared" ref="I2:I35" si="0">IF(H2&gt;=0,1,0)</f>
        <v>1</v>
      </c>
      <c r="J2" s="1">
        <v>0</v>
      </c>
      <c r="K2" s="1">
        <f>$N$2*A2*(J2-I2)</f>
        <v>-0.1</v>
      </c>
      <c r="L2" s="1">
        <f>$N$2*B2*(J2-I2)</f>
        <v>0</v>
      </c>
      <c r="M2" s="1">
        <f>$N$2*C2*(J2-I2)</f>
        <v>0</v>
      </c>
      <c r="N2">
        <v>0.1</v>
      </c>
    </row>
    <row r="3" spans="1:37" x14ac:dyDescent="0.25">
      <c r="A3" s="1">
        <v>1</v>
      </c>
      <c r="B3" s="1">
        <v>0</v>
      </c>
      <c r="C3" s="1">
        <v>1</v>
      </c>
      <c r="E3" s="1">
        <f t="shared" ref="E3:G5" si="1">E2+K2</f>
        <v>0.9</v>
      </c>
      <c r="F3" s="1">
        <f t="shared" si="1"/>
        <v>1</v>
      </c>
      <c r="G3" s="1">
        <f t="shared" si="1"/>
        <v>1</v>
      </c>
      <c r="H3" s="1">
        <f>(E3*A3)+(F3*B3)+(G3*C3)</f>
        <v>1.9</v>
      </c>
      <c r="I3" s="1">
        <f t="shared" si="0"/>
        <v>1</v>
      </c>
      <c r="J3" s="1">
        <v>0</v>
      </c>
      <c r="K3" s="1">
        <f>$N$2*A3*(J3-I3)</f>
        <v>-0.1</v>
      </c>
      <c r="L3" s="1">
        <f>$N$2*B3*(J3-I3)</f>
        <v>0</v>
      </c>
      <c r="M3" s="1">
        <f>$N$2*C3*(J3-I3)</f>
        <v>-0.1</v>
      </c>
    </row>
    <row r="4" spans="1:37" x14ac:dyDescent="0.25">
      <c r="A4" s="1">
        <v>1</v>
      </c>
      <c r="B4" s="1">
        <v>1</v>
      </c>
      <c r="C4" s="1">
        <v>0</v>
      </c>
      <c r="E4" s="1">
        <f t="shared" si="1"/>
        <v>0.8</v>
      </c>
      <c r="F4" s="1">
        <f t="shared" si="1"/>
        <v>1</v>
      </c>
      <c r="G4" s="1">
        <f t="shared" si="1"/>
        <v>0.9</v>
      </c>
      <c r="H4" s="1">
        <f>(E4*A4)+(F4*B4)+(G4*C4)</f>
        <v>1.8</v>
      </c>
      <c r="I4" s="1">
        <f t="shared" si="0"/>
        <v>1</v>
      </c>
      <c r="J4" s="1">
        <v>0</v>
      </c>
      <c r="K4" s="1">
        <f>$N$2*A4*(J4-I4)</f>
        <v>-0.1</v>
      </c>
      <c r="L4" s="1">
        <f>$N$2*B4*(J4-I4)</f>
        <v>-0.1</v>
      </c>
      <c r="M4" s="1">
        <f>$N$2*C4*(J4-I4)</f>
        <v>0</v>
      </c>
    </row>
    <row r="5" spans="1:37" x14ac:dyDescent="0.25">
      <c r="A5" s="1">
        <v>1</v>
      </c>
      <c r="B5" s="1">
        <v>1</v>
      </c>
      <c r="C5" s="1">
        <v>1</v>
      </c>
      <c r="E5" s="1">
        <f t="shared" si="1"/>
        <v>0.70000000000000007</v>
      </c>
      <c r="F5" s="1">
        <f t="shared" si="1"/>
        <v>0.9</v>
      </c>
      <c r="G5" s="1">
        <f t="shared" si="1"/>
        <v>0.9</v>
      </c>
      <c r="H5" s="1">
        <f>(E5*A5)+(F5*B5)+(G5*C5)</f>
        <v>2.5</v>
      </c>
      <c r="I5" s="1">
        <f t="shared" si="0"/>
        <v>1</v>
      </c>
      <c r="J5" s="1">
        <v>1</v>
      </c>
      <c r="K5" s="1">
        <f>$N$2*A5*(J5-I5)</f>
        <v>0</v>
      </c>
      <c r="L5" s="1">
        <f>$N$2*B5*(J5-I5)</f>
        <v>0</v>
      </c>
      <c r="M5" s="1">
        <f>$N$2*C5*(J5-I5)</f>
        <v>0</v>
      </c>
    </row>
    <row r="6" spans="1:37" x14ac:dyDescent="0.25">
      <c r="A6" s="1">
        <v>1</v>
      </c>
      <c r="B6" s="1">
        <v>0</v>
      </c>
      <c r="C6" s="1">
        <v>0</v>
      </c>
      <c r="E6" s="1">
        <f t="shared" ref="E6:E11" si="2">E5+K5</f>
        <v>0.70000000000000007</v>
      </c>
      <c r="F6" s="1">
        <f t="shared" ref="F6:F11" si="3">F5+L5</f>
        <v>0.9</v>
      </c>
      <c r="G6" s="1">
        <f t="shared" ref="G6:G11" si="4">G5+M5</f>
        <v>0.9</v>
      </c>
      <c r="H6" s="1">
        <f t="shared" ref="H6:H11" si="5">(E6*A6)+(F6*B6)+(G6*C6)</f>
        <v>0.70000000000000007</v>
      </c>
      <c r="I6" s="1">
        <f t="shared" si="0"/>
        <v>1</v>
      </c>
      <c r="J6" s="1">
        <v>0</v>
      </c>
      <c r="K6" s="1">
        <f t="shared" ref="K6:K11" si="6">$N$2*A6*(J6-I6)</f>
        <v>-0.1</v>
      </c>
      <c r="L6" s="1">
        <f t="shared" ref="L6:L11" si="7">$N$2*B6*(J6-I6)</f>
        <v>0</v>
      </c>
      <c r="M6" s="1">
        <f t="shared" ref="M6:M11" si="8">$N$2*C6*(J6-I6)</f>
        <v>0</v>
      </c>
    </row>
    <row r="7" spans="1:37" x14ac:dyDescent="0.25">
      <c r="A7" s="1">
        <v>1</v>
      </c>
      <c r="B7" s="1">
        <v>0</v>
      </c>
      <c r="C7" s="1">
        <v>1</v>
      </c>
      <c r="E7" s="1">
        <f t="shared" si="2"/>
        <v>0.60000000000000009</v>
      </c>
      <c r="F7" s="1">
        <f t="shared" si="3"/>
        <v>0.9</v>
      </c>
      <c r="G7" s="1">
        <f t="shared" si="4"/>
        <v>0.9</v>
      </c>
      <c r="H7" s="1">
        <f t="shared" si="5"/>
        <v>1.5</v>
      </c>
      <c r="I7" s="1">
        <f t="shared" si="0"/>
        <v>1</v>
      </c>
      <c r="J7" s="1">
        <v>0</v>
      </c>
      <c r="K7" s="1">
        <f t="shared" si="6"/>
        <v>-0.1</v>
      </c>
      <c r="L7" s="1">
        <f t="shared" si="7"/>
        <v>0</v>
      </c>
      <c r="M7" s="1">
        <f t="shared" si="8"/>
        <v>-0.1</v>
      </c>
    </row>
    <row r="8" spans="1:37" x14ac:dyDescent="0.25">
      <c r="A8" s="1">
        <v>1</v>
      </c>
      <c r="B8" s="1">
        <v>1</v>
      </c>
      <c r="C8" s="1">
        <v>0</v>
      </c>
      <c r="E8" s="1">
        <f t="shared" si="2"/>
        <v>0.50000000000000011</v>
      </c>
      <c r="F8" s="1">
        <f t="shared" si="3"/>
        <v>0.9</v>
      </c>
      <c r="G8" s="1">
        <f t="shared" si="4"/>
        <v>0.8</v>
      </c>
      <c r="H8" s="1">
        <f t="shared" si="5"/>
        <v>1.4000000000000001</v>
      </c>
      <c r="I8" s="1">
        <f t="shared" si="0"/>
        <v>1</v>
      </c>
      <c r="J8" s="1">
        <v>0</v>
      </c>
      <c r="K8" s="1">
        <f t="shared" si="6"/>
        <v>-0.1</v>
      </c>
      <c r="L8" s="1">
        <f t="shared" si="7"/>
        <v>-0.1</v>
      </c>
      <c r="M8" s="1">
        <f t="shared" si="8"/>
        <v>0</v>
      </c>
      <c r="Q8" t="s">
        <v>29</v>
      </c>
      <c r="AB8" t="s">
        <v>30</v>
      </c>
    </row>
    <row r="9" spans="1:37" x14ac:dyDescent="0.25">
      <c r="A9" s="1">
        <v>1</v>
      </c>
      <c r="B9" s="1">
        <v>1</v>
      </c>
      <c r="C9" s="1">
        <v>1</v>
      </c>
      <c r="E9" s="1">
        <f t="shared" si="2"/>
        <v>0.40000000000000013</v>
      </c>
      <c r="F9" s="1">
        <f t="shared" si="3"/>
        <v>0.8</v>
      </c>
      <c r="G9" s="1">
        <f t="shared" si="4"/>
        <v>0.8</v>
      </c>
      <c r="H9" s="1">
        <f t="shared" si="5"/>
        <v>2</v>
      </c>
      <c r="I9" s="1">
        <f t="shared" si="0"/>
        <v>1</v>
      </c>
      <c r="J9" s="1">
        <v>1</v>
      </c>
      <c r="K9" s="1">
        <f t="shared" si="6"/>
        <v>0</v>
      </c>
      <c r="L9" s="1">
        <f t="shared" si="7"/>
        <v>0</v>
      </c>
      <c r="M9" s="1">
        <f t="shared" si="8"/>
        <v>0</v>
      </c>
      <c r="Q9">
        <v>0</v>
      </c>
      <c r="R9">
        <v>1</v>
      </c>
      <c r="S9">
        <v>0</v>
      </c>
      <c r="T9">
        <v>0</v>
      </c>
      <c r="U9">
        <v>1</v>
      </c>
      <c r="V9">
        <v>1</v>
      </c>
      <c r="W9">
        <v>1</v>
      </c>
      <c r="X9">
        <v>0</v>
      </c>
      <c r="Y9" t="str">
        <f t="shared" ref="Y9" si="9">CONCATENATE(Q9,R9,S9,T9,U9,V9,W9,X9)</f>
        <v>01001110</v>
      </c>
      <c r="Z9">
        <f>BIN2DEC(Y9)</f>
        <v>78</v>
      </c>
      <c r="AB9">
        <v>0</v>
      </c>
      <c r="AC9">
        <v>1</v>
      </c>
      <c r="AD9">
        <v>0</v>
      </c>
      <c r="AE9">
        <v>0</v>
      </c>
      <c r="AF9">
        <v>1</v>
      </c>
      <c r="AG9">
        <v>1</v>
      </c>
      <c r="AH9">
        <v>1</v>
      </c>
      <c r="AI9">
        <v>0</v>
      </c>
      <c r="AJ9" t="str">
        <f t="shared" ref="AJ9:AJ35" si="10">CONCATENATE(AB9,AC9,AD9,AE9,AF9,AG9,AH9,AI9)</f>
        <v>01001110</v>
      </c>
      <c r="AK9">
        <f>BIN2DEC(AJ9)</f>
        <v>78</v>
      </c>
    </row>
    <row r="10" spans="1:37" x14ac:dyDescent="0.25">
      <c r="A10" s="1">
        <v>1</v>
      </c>
      <c r="B10" s="1">
        <v>0</v>
      </c>
      <c r="C10" s="1">
        <v>0</v>
      </c>
      <c r="E10" s="1">
        <f t="shared" si="2"/>
        <v>0.40000000000000013</v>
      </c>
      <c r="F10" s="1">
        <f t="shared" si="3"/>
        <v>0.8</v>
      </c>
      <c r="G10" s="1">
        <f t="shared" si="4"/>
        <v>0.8</v>
      </c>
      <c r="H10" s="1">
        <f t="shared" si="5"/>
        <v>0.40000000000000013</v>
      </c>
      <c r="I10" s="1">
        <f t="shared" si="0"/>
        <v>1</v>
      </c>
      <c r="J10" s="1">
        <v>0</v>
      </c>
      <c r="K10" s="1">
        <f t="shared" si="6"/>
        <v>-0.1</v>
      </c>
      <c r="L10" s="1">
        <f t="shared" si="7"/>
        <v>0</v>
      </c>
      <c r="M10" s="1">
        <f t="shared" si="8"/>
        <v>0</v>
      </c>
      <c r="Q10">
        <f>R9</f>
        <v>1</v>
      </c>
      <c r="R10">
        <f t="shared" ref="R10:W25" si="11">S9</f>
        <v>0</v>
      </c>
      <c r="S10">
        <f t="shared" si="11"/>
        <v>0</v>
      </c>
      <c r="T10">
        <f t="shared" si="11"/>
        <v>1</v>
      </c>
      <c r="U10">
        <f t="shared" si="11"/>
        <v>1</v>
      </c>
      <c r="V10">
        <f t="shared" si="11"/>
        <v>1</v>
      </c>
      <c r="W10">
        <f t="shared" si="11"/>
        <v>0</v>
      </c>
      <c r="X10">
        <f>Q9</f>
        <v>0</v>
      </c>
      <c r="Y10" t="str">
        <f>CONCATENATE(Q10,R10,S10,T10,U10,V10,W10,X10)</f>
        <v>10011100</v>
      </c>
      <c r="Z10">
        <f t="shared" ref="Z10:Z35" si="12">BIN2DEC(Y10)</f>
        <v>156</v>
      </c>
      <c r="AB10">
        <f>AI9</f>
        <v>0</v>
      </c>
      <c r="AC10">
        <f t="shared" ref="AC10:AH10" si="13">AB9</f>
        <v>0</v>
      </c>
      <c r="AD10">
        <f t="shared" si="13"/>
        <v>1</v>
      </c>
      <c r="AE10">
        <f t="shared" si="13"/>
        <v>0</v>
      </c>
      <c r="AF10">
        <f t="shared" si="13"/>
        <v>0</v>
      </c>
      <c r="AG10">
        <f t="shared" si="13"/>
        <v>1</v>
      </c>
      <c r="AH10">
        <f t="shared" si="13"/>
        <v>1</v>
      </c>
      <c r="AI10">
        <f>AH9</f>
        <v>1</v>
      </c>
      <c r="AJ10" t="str">
        <f t="shared" si="10"/>
        <v>00100111</v>
      </c>
      <c r="AK10">
        <f t="shared" ref="AK10:AK35" si="14">BIN2DEC(AJ10)</f>
        <v>39</v>
      </c>
    </row>
    <row r="11" spans="1:37" x14ac:dyDescent="0.25">
      <c r="A11" s="1">
        <v>1</v>
      </c>
      <c r="B11" s="1">
        <v>0</v>
      </c>
      <c r="C11" s="1">
        <v>1</v>
      </c>
      <c r="E11" s="1">
        <f t="shared" si="2"/>
        <v>0.30000000000000016</v>
      </c>
      <c r="F11" s="1">
        <f t="shared" si="3"/>
        <v>0.8</v>
      </c>
      <c r="G11" s="1">
        <f t="shared" si="4"/>
        <v>0.8</v>
      </c>
      <c r="H11" s="1">
        <f t="shared" si="5"/>
        <v>1.1000000000000001</v>
      </c>
      <c r="I11" s="1">
        <f t="shared" si="0"/>
        <v>1</v>
      </c>
      <c r="J11" s="1">
        <v>0</v>
      </c>
      <c r="K11" s="1">
        <f t="shared" si="6"/>
        <v>-0.1</v>
      </c>
      <c r="L11" s="1">
        <f t="shared" si="7"/>
        <v>0</v>
      </c>
      <c r="M11" s="1">
        <f t="shared" si="8"/>
        <v>-0.1</v>
      </c>
      <c r="Q11">
        <f t="shared" ref="Q11:W35" si="15">R10</f>
        <v>0</v>
      </c>
      <c r="R11">
        <f t="shared" si="11"/>
        <v>0</v>
      </c>
      <c r="S11">
        <f t="shared" si="11"/>
        <v>1</v>
      </c>
      <c r="T11">
        <f t="shared" si="11"/>
        <v>1</v>
      </c>
      <c r="U11">
        <f t="shared" si="11"/>
        <v>1</v>
      </c>
      <c r="V11">
        <f t="shared" si="11"/>
        <v>0</v>
      </c>
      <c r="W11">
        <f t="shared" si="11"/>
        <v>0</v>
      </c>
      <c r="X11">
        <f t="shared" ref="X11:X35" si="16">Q10</f>
        <v>1</v>
      </c>
      <c r="Y11" t="str">
        <f t="shared" ref="Y11:Y35" si="17">CONCATENATE(Q11,R11,S11,T11,U11,V11,W11,X11)</f>
        <v>00111001</v>
      </c>
      <c r="Z11">
        <f t="shared" si="12"/>
        <v>57</v>
      </c>
      <c r="AB11">
        <f t="shared" ref="AB11:AH35" si="18">AC10</f>
        <v>0</v>
      </c>
      <c r="AC11">
        <f t="shared" ref="AC11:AH25" si="19">AD10</f>
        <v>1</v>
      </c>
      <c r="AD11">
        <f t="shared" si="19"/>
        <v>0</v>
      </c>
      <c r="AE11">
        <f t="shared" si="19"/>
        <v>0</v>
      </c>
      <c r="AF11">
        <f t="shared" si="19"/>
        <v>1</v>
      </c>
      <c r="AG11">
        <f t="shared" si="19"/>
        <v>1</v>
      </c>
      <c r="AH11">
        <f t="shared" si="19"/>
        <v>1</v>
      </c>
      <c r="AI11">
        <f t="shared" ref="AI11:AI35" si="20">AB10</f>
        <v>0</v>
      </c>
      <c r="AJ11" t="str">
        <f t="shared" si="10"/>
        <v>01001110</v>
      </c>
      <c r="AK11">
        <f t="shared" si="14"/>
        <v>78</v>
      </c>
    </row>
    <row r="12" spans="1:37" x14ac:dyDescent="0.25">
      <c r="A12" s="1">
        <v>1</v>
      </c>
      <c r="B12" s="1">
        <v>1</v>
      </c>
      <c r="C12" s="1">
        <v>0</v>
      </c>
      <c r="E12" s="1">
        <f t="shared" ref="E12:E13" si="21">E11+K11</f>
        <v>0.20000000000000015</v>
      </c>
      <c r="F12" s="1">
        <f t="shared" ref="F12:F13" si="22">F11+L11</f>
        <v>0.8</v>
      </c>
      <c r="G12" s="1">
        <f t="shared" ref="G12:G13" si="23">G11+M11</f>
        <v>0.70000000000000007</v>
      </c>
      <c r="H12" s="1">
        <f t="shared" ref="H12:H13" si="24">(E12*A12)+(F12*B12)+(G12*C12)</f>
        <v>1.0000000000000002</v>
      </c>
      <c r="I12" s="1">
        <f t="shared" si="0"/>
        <v>1</v>
      </c>
      <c r="J12" s="1">
        <v>0</v>
      </c>
      <c r="K12" s="1">
        <f t="shared" ref="K12:K13" si="25">$N$2*A12*(J12-I12)</f>
        <v>-0.1</v>
      </c>
      <c r="L12" s="1">
        <f t="shared" ref="L12:L13" si="26">$N$2*B12*(J12-I12)</f>
        <v>-0.1</v>
      </c>
      <c r="M12" s="1">
        <f t="shared" ref="M12:M13" si="27">$N$2*C12*(J12-I12)</f>
        <v>0</v>
      </c>
      <c r="Q12">
        <f t="shared" si="15"/>
        <v>0</v>
      </c>
      <c r="R12">
        <f t="shared" si="11"/>
        <v>1</v>
      </c>
      <c r="S12">
        <f t="shared" si="11"/>
        <v>1</v>
      </c>
      <c r="T12">
        <f t="shared" si="11"/>
        <v>1</v>
      </c>
      <c r="U12">
        <f t="shared" si="11"/>
        <v>0</v>
      </c>
      <c r="V12">
        <f t="shared" si="11"/>
        <v>0</v>
      </c>
      <c r="W12">
        <f t="shared" si="11"/>
        <v>1</v>
      </c>
      <c r="X12">
        <f t="shared" si="16"/>
        <v>0</v>
      </c>
      <c r="Y12" t="str">
        <f t="shared" si="17"/>
        <v>01110010</v>
      </c>
      <c r="Z12">
        <f t="shared" si="12"/>
        <v>114</v>
      </c>
      <c r="AB12">
        <f t="shared" si="18"/>
        <v>1</v>
      </c>
      <c r="AC12">
        <f t="shared" si="19"/>
        <v>0</v>
      </c>
      <c r="AD12">
        <f t="shared" si="19"/>
        <v>0</v>
      </c>
      <c r="AE12">
        <f t="shared" si="19"/>
        <v>1</v>
      </c>
      <c r="AF12">
        <f t="shared" si="19"/>
        <v>1</v>
      </c>
      <c r="AG12">
        <f t="shared" si="19"/>
        <v>1</v>
      </c>
      <c r="AH12">
        <f t="shared" si="19"/>
        <v>0</v>
      </c>
      <c r="AI12">
        <f t="shared" si="20"/>
        <v>0</v>
      </c>
      <c r="AJ12" t="str">
        <f t="shared" si="10"/>
        <v>10011100</v>
      </c>
      <c r="AK12">
        <f t="shared" si="14"/>
        <v>156</v>
      </c>
    </row>
    <row r="13" spans="1:37" x14ac:dyDescent="0.25">
      <c r="A13" s="1">
        <v>1</v>
      </c>
      <c r="B13" s="1">
        <v>1</v>
      </c>
      <c r="C13" s="1">
        <v>1</v>
      </c>
      <c r="E13" s="1">
        <f t="shared" si="21"/>
        <v>0.10000000000000014</v>
      </c>
      <c r="F13" s="1">
        <f t="shared" si="22"/>
        <v>0.70000000000000007</v>
      </c>
      <c r="G13" s="1">
        <f t="shared" si="23"/>
        <v>0.70000000000000007</v>
      </c>
      <c r="H13" s="1">
        <f t="shared" si="24"/>
        <v>1.5000000000000004</v>
      </c>
      <c r="I13" s="1">
        <f t="shared" si="0"/>
        <v>1</v>
      </c>
      <c r="J13" s="1">
        <v>1</v>
      </c>
      <c r="K13" s="1">
        <f t="shared" si="25"/>
        <v>0</v>
      </c>
      <c r="L13" s="1">
        <f t="shared" si="26"/>
        <v>0</v>
      </c>
      <c r="M13" s="1">
        <f t="shared" si="27"/>
        <v>0</v>
      </c>
      <c r="Q13">
        <f t="shared" si="15"/>
        <v>1</v>
      </c>
      <c r="R13">
        <f t="shared" si="11"/>
        <v>1</v>
      </c>
      <c r="S13">
        <f t="shared" si="11"/>
        <v>1</v>
      </c>
      <c r="T13">
        <f t="shared" si="11"/>
        <v>0</v>
      </c>
      <c r="U13">
        <f t="shared" si="11"/>
        <v>0</v>
      </c>
      <c r="V13">
        <f t="shared" si="11"/>
        <v>1</v>
      </c>
      <c r="W13">
        <f t="shared" si="11"/>
        <v>0</v>
      </c>
      <c r="X13">
        <f t="shared" si="16"/>
        <v>0</v>
      </c>
      <c r="Y13" t="str">
        <f t="shared" si="17"/>
        <v>11100100</v>
      </c>
      <c r="Z13">
        <f t="shared" si="12"/>
        <v>228</v>
      </c>
      <c r="AB13">
        <f t="shared" si="18"/>
        <v>0</v>
      </c>
      <c r="AC13">
        <f t="shared" si="19"/>
        <v>0</v>
      </c>
      <c r="AD13">
        <f t="shared" si="19"/>
        <v>1</v>
      </c>
      <c r="AE13">
        <f t="shared" si="19"/>
        <v>1</v>
      </c>
      <c r="AF13">
        <f t="shared" si="19"/>
        <v>1</v>
      </c>
      <c r="AG13">
        <f t="shared" si="19"/>
        <v>0</v>
      </c>
      <c r="AH13">
        <f t="shared" si="19"/>
        <v>0</v>
      </c>
      <c r="AI13">
        <f t="shared" si="20"/>
        <v>1</v>
      </c>
      <c r="AJ13" t="str">
        <f t="shared" si="10"/>
        <v>00111001</v>
      </c>
      <c r="AK13">
        <f t="shared" si="14"/>
        <v>57</v>
      </c>
    </row>
    <row r="14" spans="1:37" x14ac:dyDescent="0.25">
      <c r="A14" s="1">
        <v>1</v>
      </c>
      <c r="B14" s="1">
        <v>0</v>
      </c>
      <c r="C14" s="1">
        <v>1</v>
      </c>
      <c r="E14" s="1">
        <f t="shared" ref="E14:G16" si="28">E13+K13</f>
        <v>0.10000000000000014</v>
      </c>
      <c r="F14" s="1">
        <f t="shared" si="28"/>
        <v>0.70000000000000007</v>
      </c>
      <c r="G14" s="1">
        <f t="shared" si="28"/>
        <v>0.70000000000000007</v>
      </c>
      <c r="H14" s="1">
        <f>(E14*A14)+(F14*B14)+(G14*C14)</f>
        <v>0.80000000000000027</v>
      </c>
      <c r="I14" s="1">
        <f t="shared" si="0"/>
        <v>1</v>
      </c>
      <c r="J14" s="1">
        <v>0</v>
      </c>
      <c r="K14" s="1">
        <f>$N$2*A14*(J14-I14)</f>
        <v>-0.1</v>
      </c>
      <c r="L14" s="1">
        <f>$N$2*B14*(J14-I14)</f>
        <v>0</v>
      </c>
      <c r="M14" s="1">
        <f>$N$2*C14*(J14-I14)</f>
        <v>-0.1</v>
      </c>
      <c r="Q14">
        <f t="shared" si="15"/>
        <v>1</v>
      </c>
      <c r="R14">
        <f t="shared" si="11"/>
        <v>1</v>
      </c>
      <c r="S14">
        <f t="shared" si="11"/>
        <v>0</v>
      </c>
      <c r="T14">
        <f t="shared" si="11"/>
        <v>0</v>
      </c>
      <c r="U14">
        <f t="shared" si="11"/>
        <v>1</v>
      </c>
      <c r="V14">
        <f t="shared" si="11"/>
        <v>0</v>
      </c>
      <c r="W14">
        <f t="shared" si="11"/>
        <v>0</v>
      </c>
      <c r="X14">
        <f t="shared" si="16"/>
        <v>1</v>
      </c>
      <c r="Y14" t="str">
        <f t="shared" si="17"/>
        <v>11001001</v>
      </c>
      <c r="Z14">
        <f t="shared" si="12"/>
        <v>201</v>
      </c>
      <c r="AB14">
        <f t="shared" si="18"/>
        <v>0</v>
      </c>
      <c r="AC14">
        <f t="shared" si="19"/>
        <v>1</v>
      </c>
      <c r="AD14">
        <f t="shared" si="19"/>
        <v>1</v>
      </c>
      <c r="AE14">
        <f t="shared" si="19"/>
        <v>1</v>
      </c>
      <c r="AF14">
        <f t="shared" si="19"/>
        <v>0</v>
      </c>
      <c r="AG14">
        <f t="shared" si="19"/>
        <v>0</v>
      </c>
      <c r="AH14">
        <f t="shared" si="19"/>
        <v>1</v>
      </c>
      <c r="AI14">
        <f t="shared" si="20"/>
        <v>0</v>
      </c>
      <c r="AJ14" t="str">
        <f t="shared" si="10"/>
        <v>01110010</v>
      </c>
      <c r="AK14">
        <f t="shared" si="14"/>
        <v>114</v>
      </c>
    </row>
    <row r="15" spans="1:37" x14ac:dyDescent="0.25">
      <c r="A15" s="1">
        <v>1</v>
      </c>
      <c r="B15" s="1">
        <v>1</v>
      </c>
      <c r="C15" s="1">
        <v>0</v>
      </c>
      <c r="E15" s="1">
        <f t="shared" si="28"/>
        <v>1.3877787807814457E-16</v>
      </c>
      <c r="F15" s="1">
        <f t="shared" si="28"/>
        <v>0.70000000000000007</v>
      </c>
      <c r="G15" s="1">
        <f t="shared" si="28"/>
        <v>0.60000000000000009</v>
      </c>
      <c r="H15" s="1">
        <f>(E15*A15)+(F15*B15)+(G15*C15)</f>
        <v>0.70000000000000018</v>
      </c>
      <c r="I15" s="1">
        <f t="shared" si="0"/>
        <v>1</v>
      </c>
      <c r="J15" s="1">
        <v>0</v>
      </c>
      <c r="K15" s="1">
        <f>$N$2*A15*(J15-I15)</f>
        <v>-0.1</v>
      </c>
      <c r="L15" s="1">
        <f>$N$2*B15*(J15-I15)</f>
        <v>-0.1</v>
      </c>
      <c r="M15" s="1">
        <f>$N$2*C15*(J15-I15)</f>
        <v>0</v>
      </c>
      <c r="Q15">
        <f t="shared" si="15"/>
        <v>1</v>
      </c>
      <c r="R15">
        <f t="shared" si="11"/>
        <v>0</v>
      </c>
      <c r="S15">
        <f t="shared" si="11"/>
        <v>0</v>
      </c>
      <c r="T15">
        <f t="shared" si="11"/>
        <v>1</v>
      </c>
      <c r="U15">
        <f t="shared" si="11"/>
        <v>0</v>
      </c>
      <c r="V15">
        <f t="shared" si="11"/>
        <v>0</v>
      </c>
      <c r="W15">
        <f t="shared" si="11"/>
        <v>1</v>
      </c>
      <c r="X15">
        <f t="shared" si="16"/>
        <v>1</v>
      </c>
      <c r="Y15" t="str">
        <f t="shared" si="17"/>
        <v>10010011</v>
      </c>
      <c r="Z15">
        <f t="shared" si="12"/>
        <v>147</v>
      </c>
      <c r="AB15">
        <f t="shared" si="18"/>
        <v>1</v>
      </c>
      <c r="AC15">
        <f t="shared" si="19"/>
        <v>1</v>
      </c>
      <c r="AD15">
        <f t="shared" si="19"/>
        <v>1</v>
      </c>
      <c r="AE15">
        <f t="shared" si="19"/>
        <v>0</v>
      </c>
      <c r="AF15">
        <f t="shared" si="19"/>
        <v>0</v>
      </c>
      <c r="AG15">
        <f t="shared" si="19"/>
        <v>1</v>
      </c>
      <c r="AH15">
        <f t="shared" si="19"/>
        <v>0</v>
      </c>
      <c r="AI15">
        <f t="shared" si="20"/>
        <v>0</v>
      </c>
      <c r="AJ15" t="str">
        <f t="shared" si="10"/>
        <v>11100100</v>
      </c>
      <c r="AK15">
        <f t="shared" si="14"/>
        <v>228</v>
      </c>
    </row>
    <row r="16" spans="1:37" x14ac:dyDescent="0.25">
      <c r="A16" s="1">
        <v>1</v>
      </c>
      <c r="B16" s="1">
        <v>1</v>
      </c>
      <c r="C16" s="1">
        <v>1</v>
      </c>
      <c r="E16" s="1">
        <f t="shared" si="28"/>
        <v>-9.9999999999999867E-2</v>
      </c>
      <c r="F16" s="1">
        <f t="shared" si="28"/>
        <v>0.60000000000000009</v>
      </c>
      <c r="G16" s="1">
        <f t="shared" si="28"/>
        <v>0.60000000000000009</v>
      </c>
      <c r="H16" s="1">
        <f>(E16*A16)+(F16*B16)+(G16*C16)</f>
        <v>1.1000000000000003</v>
      </c>
      <c r="I16" s="1">
        <f t="shared" si="0"/>
        <v>1</v>
      </c>
      <c r="J16" s="1">
        <v>1</v>
      </c>
      <c r="K16" s="1">
        <f>$N$2*A16*(J16-I16)</f>
        <v>0</v>
      </c>
      <c r="L16" s="1">
        <f>$N$2*B16*(J16-I16)</f>
        <v>0</v>
      </c>
      <c r="M16" s="1">
        <f>$N$2*C16*(J16-I16)</f>
        <v>0</v>
      </c>
      <c r="Q16">
        <f t="shared" si="15"/>
        <v>0</v>
      </c>
      <c r="R16">
        <f t="shared" si="11"/>
        <v>0</v>
      </c>
      <c r="S16">
        <f t="shared" si="11"/>
        <v>1</v>
      </c>
      <c r="T16">
        <f t="shared" si="11"/>
        <v>0</v>
      </c>
      <c r="U16">
        <f t="shared" si="11"/>
        <v>0</v>
      </c>
      <c r="V16">
        <f t="shared" si="11"/>
        <v>1</v>
      </c>
      <c r="W16">
        <f t="shared" si="11"/>
        <v>1</v>
      </c>
      <c r="X16">
        <f t="shared" si="16"/>
        <v>1</v>
      </c>
      <c r="Y16" t="str">
        <f t="shared" si="17"/>
        <v>00100111</v>
      </c>
      <c r="Z16">
        <f t="shared" si="12"/>
        <v>39</v>
      </c>
      <c r="AB16">
        <f t="shared" si="18"/>
        <v>1</v>
      </c>
      <c r="AC16">
        <f t="shared" si="19"/>
        <v>1</v>
      </c>
      <c r="AD16">
        <f t="shared" si="19"/>
        <v>0</v>
      </c>
      <c r="AE16">
        <f t="shared" si="19"/>
        <v>0</v>
      </c>
      <c r="AF16">
        <f t="shared" si="19"/>
        <v>1</v>
      </c>
      <c r="AG16">
        <f t="shared" si="19"/>
        <v>0</v>
      </c>
      <c r="AH16">
        <f t="shared" si="19"/>
        <v>0</v>
      </c>
      <c r="AI16">
        <f t="shared" si="20"/>
        <v>1</v>
      </c>
      <c r="AJ16" t="str">
        <f t="shared" si="10"/>
        <v>11001001</v>
      </c>
      <c r="AK16">
        <f t="shared" si="14"/>
        <v>201</v>
      </c>
    </row>
    <row r="17" spans="1:37" x14ac:dyDescent="0.25">
      <c r="A17" s="1">
        <v>1</v>
      </c>
      <c r="B17" s="1">
        <v>0</v>
      </c>
      <c r="C17" s="1">
        <v>0</v>
      </c>
      <c r="E17" s="1">
        <f t="shared" ref="E17:E24" si="29">E16+K16</f>
        <v>-9.9999999999999867E-2</v>
      </c>
      <c r="F17" s="1">
        <f t="shared" ref="F17:F24" si="30">F16+L16</f>
        <v>0.60000000000000009</v>
      </c>
      <c r="G17" s="1">
        <f t="shared" ref="G17:G24" si="31">G16+M16</f>
        <v>0.60000000000000009</v>
      </c>
      <c r="H17" s="1">
        <f t="shared" ref="H17:H24" si="32">(E17*A17)+(F17*B17)+(G17*C17)</f>
        <v>-9.9999999999999867E-2</v>
      </c>
      <c r="I17" s="1">
        <f t="shared" si="0"/>
        <v>0</v>
      </c>
      <c r="J17" s="1">
        <v>0</v>
      </c>
      <c r="K17" s="1">
        <f t="shared" ref="K17:K24" si="33">$N$2*A17*(J17-I17)</f>
        <v>0</v>
      </c>
      <c r="L17" s="1">
        <f t="shared" ref="L17:L24" si="34">$N$2*B17*(J17-I17)</f>
        <v>0</v>
      </c>
      <c r="M17" s="1">
        <f t="shared" ref="M17:M24" si="35">$N$2*C17*(J17-I17)</f>
        <v>0</v>
      </c>
      <c r="Q17">
        <f t="shared" si="15"/>
        <v>0</v>
      </c>
      <c r="R17">
        <f t="shared" si="11"/>
        <v>1</v>
      </c>
      <c r="S17">
        <f t="shared" si="11"/>
        <v>0</v>
      </c>
      <c r="T17">
        <f t="shared" si="11"/>
        <v>0</v>
      </c>
      <c r="U17">
        <f t="shared" si="11"/>
        <v>1</v>
      </c>
      <c r="V17">
        <f t="shared" si="11"/>
        <v>1</v>
      </c>
      <c r="W17">
        <f t="shared" si="11"/>
        <v>1</v>
      </c>
      <c r="X17">
        <f t="shared" si="16"/>
        <v>0</v>
      </c>
      <c r="Y17" t="str">
        <f t="shared" si="17"/>
        <v>01001110</v>
      </c>
      <c r="Z17">
        <f t="shared" si="12"/>
        <v>78</v>
      </c>
      <c r="AB17">
        <f t="shared" si="18"/>
        <v>1</v>
      </c>
      <c r="AC17">
        <f t="shared" si="19"/>
        <v>0</v>
      </c>
      <c r="AD17">
        <f t="shared" si="19"/>
        <v>0</v>
      </c>
      <c r="AE17">
        <f t="shared" si="19"/>
        <v>1</v>
      </c>
      <c r="AF17">
        <f t="shared" si="19"/>
        <v>0</v>
      </c>
      <c r="AG17">
        <f t="shared" si="19"/>
        <v>0</v>
      </c>
      <c r="AH17">
        <f t="shared" si="19"/>
        <v>1</v>
      </c>
      <c r="AI17">
        <f t="shared" si="20"/>
        <v>1</v>
      </c>
      <c r="AJ17" t="str">
        <f t="shared" si="10"/>
        <v>10010011</v>
      </c>
      <c r="AK17">
        <f t="shared" si="14"/>
        <v>147</v>
      </c>
    </row>
    <row r="18" spans="1:37" x14ac:dyDescent="0.25">
      <c r="A18" s="1">
        <v>1</v>
      </c>
      <c r="B18" s="1">
        <v>0</v>
      </c>
      <c r="C18" s="1">
        <v>1</v>
      </c>
      <c r="E18" s="1">
        <f t="shared" si="29"/>
        <v>-9.9999999999999867E-2</v>
      </c>
      <c r="F18" s="1">
        <f t="shared" si="30"/>
        <v>0.60000000000000009</v>
      </c>
      <c r="G18" s="1">
        <f t="shared" si="31"/>
        <v>0.60000000000000009</v>
      </c>
      <c r="H18" s="1">
        <f t="shared" si="32"/>
        <v>0.50000000000000022</v>
      </c>
      <c r="I18" s="1">
        <f t="shared" si="0"/>
        <v>1</v>
      </c>
      <c r="J18" s="1">
        <v>0</v>
      </c>
      <c r="K18" s="1">
        <f t="shared" si="33"/>
        <v>-0.1</v>
      </c>
      <c r="L18" s="1">
        <f t="shared" si="34"/>
        <v>0</v>
      </c>
      <c r="M18" s="1">
        <f t="shared" si="35"/>
        <v>-0.1</v>
      </c>
      <c r="Q18">
        <f t="shared" si="15"/>
        <v>1</v>
      </c>
      <c r="R18">
        <f t="shared" si="11"/>
        <v>0</v>
      </c>
      <c r="S18">
        <f t="shared" si="11"/>
        <v>0</v>
      </c>
      <c r="T18">
        <f t="shared" si="11"/>
        <v>1</v>
      </c>
      <c r="U18">
        <f t="shared" si="11"/>
        <v>1</v>
      </c>
      <c r="V18">
        <f t="shared" si="11"/>
        <v>1</v>
      </c>
      <c r="W18">
        <f t="shared" si="11"/>
        <v>0</v>
      </c>
      <c r="X18">
        <f t="shared" si="16"/>
        <v>0</v>
      </c>
      <c r="Y18" t="str">
        <f t="shared" si="17"/>
        <v>10011100</v>
      </c>
      <c r="Z18">
        <f t="shared" si="12"/>
        <v>156</v>
      </c>
      <c r="AB18">
        <f t="shared" si="18"/>
        <v>0</v>
      </c>
      <c r="AC18">
        <f t="shared" si="19"/>
        <v>0</v>
      </c>
      <c r="AD18">
        <f t="shared" si="19"/>
        <v>1</v>
      </c>
      <c r="AE18">
        <f t="shared" si="19"/>
        <v>0</v>
      </c>
      <c r="AF18">
        <f t="shared" si="19"/>
        <v>0</v>
      </c>
      <c r="AG18">
        <f t="shared" si="19"/>
        <v>1</v>
      </c>
      <c r="AH18">
        <f t="shared" si="19"/>
        <v>1</v>
      </c>
      <c r="AI18">
        <f t="shared" si="20"/>
        <v>1</v>
      </c>
      <c r="AJ18" t="str">
        <f t="shared" si="10"/>
        <v>00100111</v>
      </c>
      <c r="AK18">
        <f t="shared" si="14"/>
        <v>39</v>
      </c>
    </row>
    <row r="19" spans="1:37" x14ac:dyDescent="0.25">
      <c r="A19" s="1">
        <v>1</v>
      </c>
      <c r="B19" s="1">
        <v>1</v>
      </c>
      <c r="C19" s="1">
        <v>0</v>
      </c>
      <c r="E19" s="1">
        <f t="shared" si="29"/>
        <v>-0.19999999999999987</v>
      </c>
      <c r="F19" s="1">
        <f t="shared" si="30"/>
        <v>0.60000000000000009</v>
      </c>
      <c r="G19" s="1">
        <f t="shared" si="31"/>
        <v>0.50000000000000011</v>
      </c>
      <c r="H19" s="1">
        <f t="shared" si="32"/>
        <v>0.40000000000000024</v>
      </c>
      <c r="I19" s="1">
        <f t="shared" si="0"/>
        <v>1</v>
      </c>
      <c r="J19" s="1">
        <v>0</v>
      </c>
      <c r="K19" s="1">
        <f t="shared" si="33"/>
        <v>-0.1</v>
      </c>
      <c r="L19" s="1">
        <f t="shared" si="34"/>
        <v>-0.1</v>
      </c>
      <c r="M19" s="1">
        <f t="shared" si="35"/>
        <v>0</v>
      </c>
      <c r="Q19">
        <f t="shared" si="15"/>
        <v>0</v>
      </c>
      <c r="R19">
        <f t="shared" si="11"/>
        <v>0</v>
      </c>
      <c r="S19">
        <f t="shared" si="11"/>
        <v>1</v>
      </c>
      <c r="T19">
        <f t="shared" si="11"/>
        <v>1</v>
      </c>
      <c r="U19">
        <f t="shared" si="11"/>
        <v>1</v>
      </c>
      <c r="V19">
        <f t="shared" si="11"/>
        <v>0</v>
      </c>
      <c r="W19">
        <f t="shared" si="11"/>
        <v>0</v>
      </c>
      <c r="X19">
        <f t="shared" si="16"/>
        <v>1</v>
      </c>
      <c r="Y19" t="str">
        <f t="shared" si="17"/>
        <v>00111001</v>
      </c>
      <c r="Z19">
        <f t="shared" si="12"/>
        <v>57</v>
      </c>
      <c r="AB19">
        <f t="shared" si="18"/>
        <v>0</v>
      </c>
      <c r="AC19">
        <f t="shared" si="19"/>
        <v>1</v>
      </c>
      <c r="AD19">
        <f t="shared" si="19"/>
        <v>0</v>
      </c>
      <c r="AE19">
        <f t="shared" si="19"/>
        <v>0</v>
      </c>
      <c r="AF19">
        <f t="shared" si="19"/>
        <v>1</v>
      </c>
      <c r="AG19">
        <f t="shared" si="19"/>
        <v>1</v>
      </c>
      <c r="AH19">
        <f t="shared" si="19"/>
        <v>1</v>
      </c>
      <c r="AI19">
        <f t="shared" si="20"/>
        <v>0</v>
      </c>
      <c r="AJ19" t="str">
        <f t="shared" si="10"/>
        <v>01001110</v>
      </c>
      <c r="AK19">
        <f t="shared" si="14"/>
        <v>78</v>
      </c>
    </row>
    <row r="20" spans="1:37" x14ac:dyDescent="0.25">
      <c r="A20" s="1">
        <v>1</v>
      </c>
      <c r="B20" s="1">
        <v>1</v>
      </c>
      <c r="C20" s="1">
        <v>1</v>
      </c>
      <c r="E20" s="1">
        <f t="shared" si="29"/>
        <v>-0.29999999999999988</v>
      </c>
      <c r="F20" s="1">
        <f t="shared" si="30"/>
        <v>0.50000000000000011</v>
      </c>
      <c r="G20" s="1">
        <f t="shared" si="31"/>
        <v>0.50000000000000011</v>
      </c>
      <c r="H20" s="1">
        <f t="shared" si="32"/>
        <v>0.7000000000000004</v>
      </c>
      <c r="I20" s="1">
        <f t="shared" si="0"/>
        <v>1</v>
      </c>
      <c r="J20" s="1">
        <v>1</v>
      </c>
      <c r="K20" s="1">
        <f t="shared" si="33"/>
        <v>0</v>
      </c>
      <c r="L20" s="1">
        <f t="shared" si="34"/>
        <v>0</v>
      </c>
      <c r="M20" s="1">
        <f t="shared" si="35"/>
        <v>0</v>
      </c>
      <c r="Q20">
        <f t="shared" si="15"/>
        <v>0</v>
      </c>
      <c r="R20">
        <f t="shared" si="11"/>
        <v>1</v>
      </c>
      <c r="S20">
        <f t="shared" si="11"/>
        <v>1</v>
      </c>
      <c r="T20">
        <f t="shared" si="11"/>
        <v>1</v>
      </c>
      <c r="U20">
        <f t="shared" si="11"/>
        <v>0</v>
      </c>
      <c r="V20">
        <f t="shared" si="11"/>
        <v>0</v>
      </c>
      <c r="W20">
        <f t="shared" si="11"/>
        <v>1</v>
      </c>
      <c r="X20">
        <f t="shared" si="16"/>
        <v>0</v>
      </c>
      <c r="Y20" t="str">
        <f t="shared" si="17"/>
        <v>01110010</v>
      </c>
      <c r="Z20">
        <f t="shared" si="12"/>
        <v>114</v>
      </c>
      <c r="AB20">
        <f t="shared" si="18"/>
        <v>1</v>
      </c>
      <c r="AC20">
        <f t="shared" si="19"/>
        <v>0</v>
      </c>
      <c r="AD20">
        <f t="shared" si="19"/>
        <v>0</v>
      </c>
      <c r="AE20">
        <f t="shared" si="19"/>
        <v>1</v>
      </c>
      <c r="AF20">
        <f t="shared" si="19"/>
        <v>1</v>
      </c>
      <c r="AG20">
        <f t="shared" si="19"/>
        <v>1</v>
      </c>
      <c r="AH20">
        <f t="shared" si="19"/>
        <v>0</v>
      </c>
      <c r="AI20">
        <f t="shared" si="20"/>
        <v>0</v>
      </c>
      <c r="AJ20" t="str">
        <f t="shared" si="10"/>
        <v>10011100</v>
      </c>
      <c r="AK20">
        <f t="shared" si="14"/>
        <v>156</v>
      </c>
    </row>
    <row r="21" spans="1:37" x14ac:dyDescent="0.25">
      <c r="A21" s="1">
        <v>1</v>
      </c>
      <c r="B21" s="1">
        <v>0</v>
      </c>
      <c r="C21" s="1">
        <v>0</v>
      </c>
      <c r="E21" s="1">
        <f t="shared" si="29"/>
        <v>-0.29999999999999988</v>
      </c>
      <c r="F21" s="1">
        <f t="shared" si="30"/>
        <v>0.50000000000000011</v>
      </c>
      <c r="G21" s="1">
        <f t="shared" si="31"/>
        <v>0.50000000000000011</v>
      </c>
      <c r="H21" s="1">
        <f t="shared" si="32"/>
        <v>-0.29999999999999988</v>
      </c>
      <c r="I21" s="1">
        <f t="shared" si="0"/>
        <v>0</v>
      </c>
      <c r="J21" s="1">
        <v>0</v>
      </c>
      <c r="K21" s="1">
        <f t="shared" si="33"/>
        <v>0</v>
      </c>
      <c r="L21" s="1">
        <f t="shared" si="34"/>
        <v>0</v>
      </c>
      <c r="M21" s="1">
        <f t="shared" si="35"/>
        <v>0</v>
      </c>
      <c r="Q21">
        <f t="shared" si="15"/>
        <v>1</v>
      </c>
      <c r="R21">
        <f t="shared" si="11"/>
        <v>1</v>
      </c>
      <c r="S21">
        <f t="shared" si="11"/>
        <v>1</v>
      </c>
      <c r="T21">
        <f t="shared" si="11"/>
        <v>0</v>
      </c>
      <c r="U21">
        <f t="shared" si="11"/>
        <v>0</v>
      </c>
      <c r="V21">
        <f t="shared" si="11"/>
        <v>1</v>
      </c>
      <c r="W21">
        <f t="shared" si="11"/>
        <v>0</v>
      </c>
      <c r="X21">
        <f t="shared" si="16"/>
        <v>0</v>
      </c>
      <c r="Y21" t="str">
        <f t="shared" si="17"/>
        <v>11100100</v>
      </c>
      <c r="Z21">
        <f t="shared" si="12"/>
        <v>228</v>
      </c>
      <c r="AB21">
        <f t="shared" si="18"/>
        <v>0</v>
      </c>
      <c r="AC21">
        <f t="shared" si="19"/>
        <v>0</v>
      </c>
      <c r="AD21">
        <f t="shared" si="19"/>
        <v>1</v>
      </c>
      <c r="AE21">
        <f t="shared" si="19"/>
        <v>1</v>
      </c>
      <c r="AF21">
        <f t="shared" si="19"/>
        <v>1</v>
      </c>
      <c r="AG21">
        <f t="shared" si="19"/>
        <v>0</v>
      </c>
      <c r="AH21">
        <f t="shared" si="19"/>
        <v>0</v>
      </c>
      <c r="AI21">
        <f t="shared" si="20"/>
        <v>1</v>
      </c>
      <c r="AJ21" t="str">
        <f t="shared" si="10"/>
        <v>00111001</v>
      </c>
      <c r="AK21">
        <f t="shared" si="14"/>
        <v>57</v>
      </c>
    </row>
    <row r="22" spans="1:37" x14ac:dyDescent="0.25">
      <c r="A22" s="1">
        <v>1</v>
      </c>
      <c r="B22" s="1">
        <v>0</v>
      </c>
      <c r="C22" s="1">
        <v>1</v>
      </c>
      <c r="E22" s="1">
        <f t="shared" si="29"/>
        <v>-0.29999999999999988</v>
      </c>
      <c r="F22" s="1">
        <f t="shared" si="30"/>
        <v>0.50000000000000011</v>
      </c>
      <c r="G22" s="1">
        <f t="shared" si="31"/>
        <v>0.50000000000000011</v>
      </c>
      <c r="H22" s="1">
        <f t="shared" si="32"/>
        <v>0.20000000000000023</v>
      </c>
      <c r="I22" s="1">
        <f t="shared" si="0"/>
        <v>1</v>
      </c>
      <c r="J22" s="1">
        <v>0</v>
      </c>
      <c r="K22" s="1">
        <f t="shared" si="33"/>
        <v>-0.1</v>
      </c>
      <c r="L22" s="1">
        <f t="shared" si="34"/>
        <v>0</v>
      </c>
      <c r="M22" s="1">
        <f t="shared" si="35"/>
        <v>-0.1</v>
      </c>
      <c r="Q22">
        <f t="shared" si="15"/>
        <v>1</v>
      </c>
      <c r="R22">
        <f t="shared" si="11"/>
        <v>1</v>
      </c>
      <c r="S22">
        <f t="shared" si="11"/>
        <v>0</v>
      </c>
      <c r="T22">
        <f t="shared" si="11"/>
        <v>0</v>
      </c>
      <c r="U22">
        <f t="shared" si="11"/>
        <v>1</v>
      </c>
      <c r="V22">
        <f t="shared" si="11"/>
        <v>0</v>
      </c>
      <c r="W22">
        <f t="shared" si="11"/>
        <v>0</v>
      </c>
      <c r="X22">
        <f t="shared" si="16"/>
        <v>1</v>
      </c>
      <c r="Y22" t="str">
        <f t="shared" si="17"/>
        <v>11001001</v>
      </c>
      <c r="Z22">
        <f t="shared" si="12"/>
        <v>201</v>
      </c>
      <c r="AB22">
        <f t="shared" si="18"/>
        <v>0</v>
      </c>
      <c r="AC22">
        <f t="shared" si="19"/>
        <v>1</v>
      </c>
      <c r="AD22">
        <f t="shared" si="19"/>
        <v>1</v>
      </c>
      <c r="AE22">
        <f t="shared" si="19"/>
        <v>1</v>
      </c>
      <c r="AF22">
        <f t="shared" si="19"/>
        <v>0</v>
      </c>
      <c r="AG22">
        <f t="shared" si="19"/>
        <v>0</v>
      </c>
      <c r="AH22">
        <f t="shared" si="19"/>
        <v>1</v>
      </c>
      <c r="AI22">
        <f t="shared" si="20"/>
        <v>0</v>
      </c>
      <c r="AJ22" t="str">
        <f t="shared" si="10"/>
        <v>01110010</v>
      </c>
      <c r="AK22">
        <f t="shared" si="14"/>
        <v>114</v>
      </c>
    </row>
    <row r="23" spans="1:37" x14ac:dyDescent="0.25">
      <c r="A23" s="1">
        <v>1</v>
      </c>
      <c r="B23" s="1">
        <v>1</v>
      </c>
      <c r="C23" s="1">
        <v>0</v>
      </c>
      <c r="E23" s="1">
        <f t="shared" si="29"/>
        <v>-0.39999999999999991</v>
      </c>
      <c r="F23" s="1">
        <f t="shared" si="30"/>
        <v>0.50000000000000011</v>
      </c>
      <c r="G23" s="1">
        <f t="shared" si="31"/>
        <v>0.40000000000000013</v>
      </c>
      <c r="H23" s="1">
        <f t="shared" si="32"/>
        <v>0.1000000000000002</v>
      </c>
      <c r="I23" s="1">
        <f t="shared" si="0"/>
        <v>1</v>
      </c>
      <c r="J23" s="1">
        <v>0</v>
      </c>
      <c r="K23" s="1">
        <f t="shared" si="33"/>
        <v>-0.1</v>
      </c>
      <c r="L23" s="1">
        <f t="shared" si="34"/>
        <v>-0.1</v>
      </c>
      <c r="M23" s="1">
        <f t="shared" si="35"/>
        <v>0</v>
      </c>
      <c r="Q23">
        <f t="shared" si="15"/>
        <v>1</v>
      </c>
      <c r="R23">
        <f t="shared" si="11"/>
        <v>0</v>
      </c>
      <c r="S23">
        <f t="shared" si="11"/>
        <v>0</v>
      </c>
      <c r="T23">
        <f t="shared" si="11"/>
        <v>1</v>
      </c>
      <c r="U23">
        <f t="shared" si="11"/>
        <v>0</v>
      </c>
      <c r="V23">
        <f t="shared" si="11"/>
        <v>0</v>
      </c>
      <c r="W23">
        <f t="shared" si="11"/>
        <v>1</v>
      </c>
      <c r="X23">
        <f t="shared" si="16"/>
        <v>1</v>
      </c>
      <c r="Y23" t="str">
        <f t="shared" si="17"/>
        <v>10010011</v>
      </c>
      <c r="Z23">
        <f t="shared" si="12"/>
        <v>147</v>
      </c>
      <c r="AB23">
        <f t="shared" si="18"/>
        <v>1</v>
      </c>
      <c r="AC23">
        <f t="shared" si="19"/>
        <v>1</v>
      </c>
      <c r="AD23">
        <f t="shared" si="19"/>
        <v>1</v>
      </c>
      <c r="AE23">
        <f t="shared" si="19"/>
        <v>0</v>
      </c>
      <c r="AF23">
        <f t="shared" si="19"/>
        <v>0</v>
      </c>
      <c r="AG23">
        <f t="shared" si="19"/>
        <v>1</v>
      </c>
      <c r="AH23">
        <f t="shared" si="19"/>
        <v>0</v>
      </c>
      <c r="AI23">
        <f t="shared" si="20"/>
        <v>0</v>
      </c>
      <c r="AJ23" t="str">
        <f t="shared" si="10"/>
        <v>11100100</v>
      </c>
      <c r="AK23">
        <f t="shared" si="14"/>
        <v>228</v>
      </c>
    </row>
    <row r="24" spans="1:37" x14ac:dyDescent="0.25">
      <c r="A24" s="1">
        <v>1</v>
      </c>
      <c r="B24" s="1">
        <v>1</v>
      </c>
      <c r="C24" s="1">
        <v>1</v>
      </c>
      <c r="E24" s="1">
        <f t="shared" si="29"/>
        <v>-0.49999999999999989</v>
      </c>
      <c r="F24" s="1">
        <f t="shared" si="30"/>
        <v>0.40000000000000013</v>
      </c>
      <c r="G24" s="1">
        <f t="shared" si="31"/>
        <v>0.40000000000000013</v>
      </c>
      <c r="H24" s="1">
        <f t="shared" si="32"/>
        <v>0.30000000000000038</v>
      </c>
      <c r="I24" s="1">
        <f t="shared" si="0"/>
        <v>1</v>
      </c>
      <c r="J24" s="1">
        <v>1</v>
      </c>
      <c r="K24" s="1">
        <f t="shared" si="33"/>
        <v>0</v>
      </c>
      <c r="L24" s="1">
        <f t="shared" si="34"/>
        <v>0</v>
      </c>
      <c r="M24" s="1">
        <f t="shared" si="35"/>
        <v>0</v>
      </c>
      <c r="Q24">
        <f t="shared" si="15"/>
        <v>0</v>
      </c>
      <c r="R24">
        <f t="shared" si="11"/>
        <v>0</v>
      </c>
      <c r="S24">
        <f t="shared" si="11"/>
        <v>1</v>
      </c>
      <c r="T24">
        <f t="shared" si="11"/>
        <v>0</v>
      </c>
      <c r="U24">
        <f t="shared" si="11"/>
        <v>0</v>
      </c>
      <c r="V24">
        <f t="shared" si="11"/>
        <v>1</v>
      </c>
      <c r="W24">
        <f t="shared" si="11"/>
        <v>1</v>
      </c>
      <c r="X24">
        <f t="shared" si="16"/>
        <v>1</v>
      </c>
      <c r="Y24" t="str">
        <f t="shared" si="17"/>
        <v>00100111</v>
      </c>
      <c r="Z24">
        <f t="shared" si="12"/>
        <v>39</v>
      </c>
      <c r="AB24">
        <f t="shared" si="18"/>
        <v>1</v>
      </c>
      <c r="AC24">
        <f t="shared" si="19"/>
        <v>1</v>
      </c>
      <c r="AD24">
        <f t="shared" si="19"/>
        <v>0</v>
      </c>
      <c r="AE24">
        <f t="shared" si="19"/>
        <v>0</v>
      </c>
      <c r="AF24">
        <f t="shared" si="19"/>
        <v>1</v>
      </c>
      <c r="AG24">
        <f t="shared" si="19"/>
        <v>0</v>
      </c>
      <c r="AH24">
        <f t="shared" si="19"/>
        <v>0</v>
      </c>
      <c r="AI24">
        <f t="shared" si="20"/>
        <v>1</v>
      </c>
      <c r="AJ24" t="str">
        <f t="shared" si="10"/>
        <v>11001001</v>
      </c>
      <c r="AK24">
        <f t="shared" si="14"/>
        <v>201</v>
      </c>
    </row>
    <row r="25" spans="1:37" x14ac:dyDescent="0.25">
      <c r="A25" s="1">
        <v>1</v>
      </c>
      <c r="B25" s="1">
        <v>0</v>
      </c>
      <c r="C25" s="1">
        <v>1</v>
      </c>
      <c r="E25" s="1">
        <f t="shared" ref="E25:G27" si="36">E24+K24</f>
        <v>-0.49999999999999989</v>
      </c>
      <c r="F25" s="1">
        <f t="shared" si="36"/>
        <v>0.40000000000000013</v>
      </c>
      <c r="G25" s="1">
        <f t="shared" si="36"/>
        <v>0.40000000000000013</v>
      </c>
      <c r="H25" s="1">
        <f>(E25*A25)+(F25*B25)+(G25*C25)</f>
        <v>-9.9999999999999756E-2</v>
      </c>
      <c r="I25" s="1">
        <f t="shared" si="0"/>
        <v>0</v>
      </c>
      <c r="J25" s="1">
        <v>0</v>
      </c>
      <c r="K25" s="1">
        <f>$N$2*A25*(J25-I25)</f>
        <v>0</v>
      </c>
      <c r="L25" s="1">
        <f>$N$2*B25*(J25-I25)</f>
        <v>0</v>
      </c>
      <c r="M25" s="1">
        <f>$N$2*C25*(J25-I25)</f>
        <v>0</v>
      </c>
      <c r="Q25">
        <f t="shared" si="15"/>
        <v>0</v>
      </c>
      <c r="R25">
        <f t="shared" si="11"/>
        <v>1</v>
      </c>
      <c r="S25">
        <f t="shared" si="11"/>
        <v>0</v>
      </c>
      <c r="T25">
        <f t="shared" si="11"/>
        <v>0</v>
      </c>
      <c r="U25">
        <f t="shared" si="11"/>
        <v>1</v>
      </c>
      <c r="V25">
        <f t="shared" si="11"/>
        <v>1</v>
      </c>
      <c r="W25">
        <f t="shared" si="11"/>
        <v>1</v>
      </c>
      <c r="X25">
        <f t="shared" si="16"/>
        <v>0</v>
      </c>
      <c r="Y25" t="str">
        <f t="shared" si="17"/>
        <v>01001110</v>
      </c>
      <c r="Z25">
        <f t="shared" si="12"/>
        <v>78</v>
      </c>
      <c r="AB25">
        <f t="shared" si="18"/>
        <v>1</v>
      </c>
      <c r="AC25">
        <f t="shared" si="19"/>
        <v>0</v>
      </c>
      <c r="AD25">
        <f t="shared" si="19"/>
        <v>0</v>
      </c>
      <c r="AE25">
        <f t="shared" si="19"/>
        <v>1</v>
      </c>
      <c r="AF25">
        <f t="shared" si="19"/>
        <v>0</v>
      </c>
      <c r="AG25">
        <f t="shared" si="19"/>
        <v>0</v>
      </c>
      <c r="AH25">
        <f t="shared" si="19"/>
        <v>1</v>
      </c>
      <c r="AI25">
        <f t="shared" si="20"/>
        <v>1</v>
      </c>
      <c r="AJ25" t="str">
        <f t="shared" si="10"/>
        <v>10010011</v>
      </c>
      <c r="AK25">
        <f t="shared" si="14"/>
        <v>147</v>
      </c>
    </row>
    <row r="26" spans="1:37" x14ac:dyDescent="0.25">
      <c r="A26" s="1">
        <v>1</v>
      </c>
      <c r="B26" s="1">
        <v>1</v>
      </c>
      <c r="C26" s="1">
        <v>0</v>
      </c>
      <c r="E26" s="1">
        <f t="shared" si="36"/>
        <v>-0.49999999999999989</v>
      </c>
      <c r="F26" s="1">
        <f t="shared" si="36"/>
        <v>0.40000000000000013</v>
      </c>
      <c r="G26" s="1">
        <f t="shared" si="36"/>
        <v>0.40000000000000013</v>
      </c>
      <c r="H26" s="1">
        <f>(E26*A26)+(F26*B26)+(G26*C26)</f>
        <v>-9.9999999999999756E-2</v>
      </c>
      <c r="I26" s="1">
        <f t="shared" si="0"/>
        <v>0</v>
      </c>
      <c r="J26" s="1">
        <v>0</v>
      </c>
      <c r="K26" s="1">
        <f>$N$2*A26*(J26-I26)</f>
        <v>0</v>
      </c>
      <c r="L26" s="1">
        <f>$N$2*B26*(J26-I26)</f>
        <v>0</v>
      </c>
      <c r="M26" s="1">
        <f>$N$2*C26*(J26-I26)</f>
        <v>0</v>
      </c>
      <c r="Q26">
        <f t="shared" si="15"/>
        <v>1</v>
      </c>
      <c r="R26">
        <f t="shared" si="15"/>
        <v>0</v>
      </c>
      <c r="S26">
        <f t="shared" si="15"/>
        <v>0</v>
      </c>
      <c r="T26">
        <f t="shared" si="15"/>
        <v>1</v>
      </c>
      <c r="U26">
        <f t="shared" si="15"/>
        <v>1</v>
      </c>
      <c r="V26">
        <f t="shared" si="15"/>
        <v>1</v>
      </c>
      <c r="W26">
        <f t="shared" si="15"/>
        <v>0</v>
      </c>
      <c r="X26">
        <f t="shared" si="16"/>
        <v>0</v>
      </c>
      <c r="Y26" t="str">
        <f t="shared" si="17"/>
        <v>10011100</v>
      </c>
      <c r="Z26">
        <f t="shared" si="12"/>
        <v>156</v>
      </c>
      <c r="AB26">
        <f t="shared" si="18"/>
        <v>0</v>
      </c>
      <c r="AC26">
        <f t="shared" si="18"/>
        <v>0</v>
      </c>
      <c r="AD26">
        <f t="shared" si="18"/>
        <v>1</v>
      </c>
      <c r="AE26">
        <f t="shared" si="18"/>
        <v>0</v>
      </c>
      <c r="AF26">
        <f t="shared" si="18"/>
        <v>0</v>
      </c>
      <c r="AG26">
        <f t="shared" si="18"/>
        <v>1</v>
      </c>
      <c r="AH26">
        <f t="shared" si="18"/>
        <v>1</v>
      </c>
      <c r="AI26">
        <f t="shared" si="20"/>
        <v>1</v>
      </c>
      <c r="AJ26" t="str">
        <f t="shared" si="10"/>
        <v>00100111</v>
      </c>
      <c r="AK26">
        <f t="shared" si="14"/>
        <v>39</v>
      </c>
    </row>
    <row r="27" spans="1:37" x14ac:dyDescent="0.25">
      <c r="A27" s="1">
        <v>1</v>
      </c>
      <c r="B27" s="1">
        <v>1</v>
      </c>
      <c r="C27" s="1">
        <v>1</v>
      </c>
      <c r="E27" s="1">
        <f t="shared" si="36"/>
        <v>-0.49999999999999989</v>
      </c>
      <c r="F27" s="1">
        <f t="shared" si="36"/>
        <v>0.40000000000000013</v>
      </c>
      <c r="G27" s="1">
        <f t="shared" si="36"/>
        <v>0.40000000000000013</v>
      </c>
      <c r="H27" s="1">
        <f>(E27*A27)+(F27*B27)+(G27*C27)</f>
        <v>0.30000000000000038</v>
      </c>
      <c r="I27" s="1">
        <f t="shared" si="0"/>
        <v>1</v>
      </c>
      <c r="J27" s="1">
        <v>1</v>
      </c>
      <c r="K27" s="1">
        <f>$N$2*A27*(J27-I27)</f>
        <v>0</v>
      </c>
      <c r="L27" s="1">
        <f>$N$2*B27*(J27-I27)</f>
        <v>0</v>
      </c>
      <c r="M27" s="1">
        <f>$N$2*C27*(J27-I27)</f>
        <v>0</v>
      </c>
      <c r="Q27">
        <f t="shared" si="15"/>
        <v>0</v>
      </c>
      <c r="R27">
        <f t="shared" si="15"/>
        <v>0</v>
      </c>
      <c r="S27">
        <f t="shared" si="15"/>
        <v>1</v>
      </c>
      <c r="T27">
        <f t="shared" si="15"/>
        <v>1</v>
      </c>
      <c r="U27">
        <f t="shared" si="15"/>
        <v>1</v>
      </c>
      <c r="V27">
        <f t="shared" si="15"/>
        <v>0</v>
      </c>
      <c r="W27">
        <f t="shared" si="15"/>
        <v>0</v>
      </c>
      <c r="X27">
        <f t="shared" si="16"/>
        <v>1</v>
      </c>
      <c r="Y27" t="str">
        <f t="shared" si="17"/>
        <v>00111001</v>
      </c>
      <c r="Z27">
        <f t="shared" si="12"/>
        <v>57</v>
      </c>
      <c r="AB27">
        <f t="shared" si="18"/>
        <v>0</v>
      </c>
      <c r="AC27">
        <f t="shared" si="18"/>
        <v>1</v>
      </c>
      <c r="AD27">
        <f t="shared" si="18"/>
        <v>0</v>
      </c>
      <c r="AE27">
        <f t="shared" si="18"/>
        <v>0</v>
      </c>
      <c r="AF27">
        <f t="shared" si="18"/>
        <v>1</v>
      </c>
      <c r="AG27">
        <f t="shared" si="18"/>
        <v>1</v>
      </c>
      <c r="AH27">
        <f t="shared" si="18"/>
        <v>1</v>
      </c>
      <c r="AI27">
        <f t="shared" si="20"/>
        <v>0</v>
      </c>
      <c r="AJ27" t="str">
        <f t="shared" si="10"/>
        <v>01001110</v>
      </c>
      <c r="AK27">
        <f t="shared" si="14"/>
        <v>78</v>
      </c>
    </row>
    <row r="28" spans="1:37" x14ac:dyDescent="0.25">
      <c r="A28" s="1">
        <v>1</v>
      </c>
      <c r="B28" s="1">
        <v>0</v>
      </c>
      <c r="C28" s="1">
        <v>0</v>
      </c>
      <c r="E28" s="1">
        <f t="shared" ref="E28:E35" si="37">E27+K27</f>
        <v>-0.49999999999999989</v>
      </c>
      <c r="F28" s="1">
        <f t="shared" ref="F28:F35" si="38">F27+L27</f>
        <v>0.40000000000000013</v>
      </c>
      <c r="G28" s="1">
        <f t="shared" ref="G28:G35" si="39">G27+M27</f>
        <v>0.40000000000000013</v>
      </c>
      <c r="H28" s="1">
        <f t="shared" ref="H28:H35" si="40">(E28*A28)+(F28*B28)+(G28*C28)</f>
        <v>-0.49999999999999989</v>
      </c>
      <c r="I28" s="1">
        <f t="shared" si="0"/>
        <v>0</v>
      </c>
      <c r="J28" s="1">
        <v>0</v>
      </c>
      <c r="K28" s="1">
        <f t="shared" ref="K28:K35" si="41">$N$2*A28*(J28-I28)</f>
        <v>0</v>
      </c>
      <c r="L28" s="1">
        <f t="shared" ref="L28:L35" si="42">$N$2*B28*(J28-I28)</f>
        <v>0</v>
      </c>
      <c r="M28" s="1">
        <f t="shared" ref="M28:M35" si="43">$N$2*C28*(J28-I28)</f>
        <v>0</v>
      </c>
      <c r="Q28">
        <f t="shared" si="15"/>
        <v>0</v>
      </c>
      <c r="R28">
        <f t="shared" si="15"/>
        <v>1</v>
      </c>
      <c r="S28">
        <f t="shared" si="15"/>
        <v>1</v>
      </c>
      <c r="T28">
        <f t="shared" si="15"/>
        <v>1</v>
      </c>
      <c r="U28">
        <f t="shared" si="15"/>
        <v>0</v>
      </c>
      <c r="V28">
        <f t="shared" si="15"/>
        <v>0</v>
      </c>
      <c r="W28">
        <f t="shared" si="15"/>
        <v>1</v>
      </c>
      <c r="X28">
        <f t="shared" si="16"/>
        <v>0</v>
      </c>
      <c r="Y28" t="str">
        <f t="shared" si="17"/>
        <v>01110010</v>
      </c>
      <c r="Z28">
        <f t="shared" si="12"/>
        <v>114</v>
      </c>
      <c r="AB28">
        <f t="shared" si="18"/>
        <v>1</v>
      </c>
      <c r="AC28">
        <f t="shared" si="18"/>
        <v>0</v>
      </c>
      <c r="AD28">
        <f t="shared" si="18"/>
        <v>0</v>
      </c>
      <c r="AE28">
        <f t="shared" si="18"/>
        <v>1</v>
      </c>
      <c r="AF28">
        <f t="shared" si="18"/>
        <v>1</v>
      </c>
      <c r="AG28">
        <f t="shared" si="18"/>
        <v>1</v>
      </c>
      <c r="AH28">
        <f t="shared" si="18"/>
        <v>0</v>
      </c>
      <c r="AI28">
        <f t="shared" si="20"/>
        <v>0</v>
      </c>
      <c r="AJ28" t="str">
        <f t="shared" si="10"/>
        <v>10011100</v>
      </c>
      <c r="AK28">
        <f t="shared" si="14"/>
        <v>156</v>
      </c>
    </row>
    <row r="29" spans="1:37" x14ac:dyDescent="0.25">
      <c r="A29" s="1">
        <v>1</v>
      </c>
      <c r="B29" s="1">
        <v>0</v>
      </c>
      <c r="C29" s="1">
        <v>1</v>
      </c>
      <c r="E29" s="1">
        <f t="shared" si="37"/>
        <v>-0.49999999999999989</v>
      </c>
      <c r="F29" s="1">
        <f t="shared" si="38"/>
        <v>0.40000000000000013</v>
      </c>
      <c r="G29" s="1">
        <f t="shared" si="39"/>
        <v>0.40000000000000013</v>
      </c>
      <c r="H29" s="1">
        <f t="shared" si="40"/>
        <v>-9.9999999999999756E-2</v>
      </c>
      <c r="I29" s="1">
        <f t="shared" si="0"/>
        <v>0</v>
      </c>
      <c r="J29" s="1">
        <v>0</v>
      </c>
      <c r="K29" s="1">
        <f t="shared" si="41"/>
        <v>0</v>
      </c>
      <c r="L29" s="1">
        <f t="shared" si="42"/>
        <v>0</v>
      </c>
      <c r="M29" s="1">
        <f t="shared" si="43"/>
        <v>0</v>
      </c>
      <c r="Q29">
        <f t="shared" si="15"/>
        <v>1</v>
      </c>
      <c r="R29">
        <f t="shared" si="15"/>
        <v>1</v>
      </c>
      <c r="S29">
        <f t="shared" si="15"/>
        <v>1</v>
      </c>
      <c r="T29">
        <f t="shared" si="15"/>
        <v>0</v>
      </c>
      <c r="U29">
        <f t="shared" si="15"/>
        <v>0</v>
      </c>
      <c r="V29">
        <f t="shared" si="15"/>
        <v>1</v>
      </c>
      <c r="W29">
        <f t="shared" si="15"/>
        <v>0</v>
      </c>
      <c r="X29">
        <f t="shared" si="16"/>
        <v>0</v>
      </c>
      <c r="Y29" t="str">
        <f t="shared" si="17"/>
        <v>11100100</v>
      </c>
      <c r="Z29">
        <f t="shared" si="12"/>
        <v>228</v>
      </c>
      <c r="AB29">
        <f t="shared" si="18"/>
        <v>0</v>
      </c>
      <c r="AC29">
        <f t="shared" si="18"/>
        <v>0</v>
      </c>
      <c r="AD29">
        <f t="shared" si="18"/>
        <v>1</v>
      </c>
      <c r="AE29">
        <f t="shared" si="18"/>
        <v>1</v>
      </c>
      <c r="AF29">
        <f t="shared" si="18"/>
        <v>1</v>
      </c>
      <c r="AG29">
        <f t="shared" si="18"/>
        <v>0</v>
      </c>
      <c r="AH29">
        <f t="shared" si="18"/>
        <v>0</v>
      </c>
      <c r="AI29">
        <f t="shared" si="20"/>
        <v>1</v>
      </c>
      <c r="AJ29" t="str">
        <f t="shared" si="10"/>
        <v>00111001</v>
      </c>
      <c r="AK29">
        <f t="shared" si="14"/>
        <v>57</v>
      </c>
    </row>
    <row r="30" spans="1:37" x14ac:dyDescent="0.25">
      <c r="A30" s="1">
        <v>1</v>
      </c>
      <c r="B30" s="1">
        <v>1</v>
      </c>
      <c r="C30" s="1">
        <v>0</v>
      </c>
      <c r="E30" s="1">
        <f t="shared" si="37"/>
        <v>-0.49999999999999989</v>
      </c>
      <c r="F30" s="1">
        <f t="shared" si="38"/>
        <v>0.40000000000000013</v>
      </c>
      <c r="G30" s="1">
        <f t="shared" si="39"/>
        <v>0.40000000000000013</v>
      </c>
      <c r="H30" s="1">
        <f t="shared" si="40"/>
        <v>-9.9999999999999756E-2</v>
      </c>
      <c r="I30" s="1">
        <f t="shared" si="0"/>
        <v>0</v>
      </c>
      <c r="J30" s="1">
        <v>0</v>
      </c>
      <c r="K30" s="1">
        <f t="shared" si="41"/>
        <v>0</v>
      </c>
      <c r="L30" s="1">
        <f t="shared" si="42"/>
        <v>0</v>
      </c>
      <c r="M30" s="1">
        <f t="shared" si="43"/>
        <v>0</v>
      </c>
      <c r="Q30">
        <f t="shared" si="15"/>
        <v>1</v>
      </c>
      <c r="R30">
        <f t="shared" si="15"/>
        <v>1</v>
      </c>
      <c r="S30">
        <f t="shared" si="15"/>
        <v>0</v>
      </c>
      <c r="T30">
        <f t="shared" si="15"/>
        <v>0</v>
      </c>
      <c r="U30">
        <f t="shared" si="15"/>
        <v>1</v>
      </c>
      <c r="V30">
        <f t="shared" si="15"/>
        <v>0</v>
      </c>
      <c r="W30">
        <f t="shared" si="15"/>
        <v>0</v>
      </c>
      <c r="X30">
        <f t="shared" si="16"/>
        <v>1</v>
      </c>
      <c r="Y30" t="str">
        <f t="shared" si="17"/>
        <v>11001001</v>
      </c>
      <c r="Z30">
        <f t="shared" si="12"/>
        <v>201</v>
      </c>
      <c r="AB30">
        <f t="shared" si="18"/>
        <v>0</v>
      </c>
      <c r="AC30">
        <f t="shared" si="18"/>
        <v>1</v>
      </c>
      <c r="AD30">
        <f t="shared" si="18"/>
        <v>1</v>
      </c>
      <c r="AE30">
        <f t="shared" si="18"/>
        <v>1</v>
      </c>
      <c r="AF30">
        <f t="shared" si="18"/>
        <v>0</v>
      </c>
      <c r="AG30">
        <f t="shared" si="18"/>
        <v>0</v>
      </c>
      <c r="AH30">
        <f t="shared" si="18"/>
        <v>1</v>
      </c>
      <c r="AI30">
        <f t="shared" si="20"/>
        <v>0</v>
      </c>
      <c r="AJ30" t="str">
        <f t="shared" si="10"/>
        <v>01110010</v>
      </c>
      <c r="AK30">
        <f t="shared" si="14"/>
        <v>114</v>
      </c>
    </row>
    <row r="31" spans="1:37" x14ac:dyDescent="0.25">
      <c r="A31" s="1">
        <v>1</v>
      </c>
      <c r="B31" s="1">
        <v>1</v>
      </c>
      <c r="C31" s="1">
        <v>1</v>
      </c>
      <c r="E31" s="1">
        <f t="shared" si="37"/>
        <v>-0.49999999999999989</v>
      </c>
      <c r="F31" s="1">
        <f t="shared" si="38"/>
        <v>0.40000000000000013</v>
      </c>
      <c r="G31" s="1">
        <f t="shared" si="39"/>
        <v>0.40000000000000013</v>
      </c>
      <c r="H31" s="1">
        <f t="shared" si="40"/>
        <v>0.30000000000000038</v>
      </c>
      <c r="I31" s="1">
        <f t="shared" si="0"/>
        <v>1</v>
      </c>
      <c r="J31" s="1">
        <v>1</v>
      </c>
      <c r="K31" s="1">
        <f t="shared" si="41"/>
        <v>0</v>
      </c>
      <c r="L31" s="1">
        <f t="shared" si="42"/>
        <v>0</v>
      </c>
      <c r="M31" s="1">
        <f t="shared" si="43"/>
        <v>0</v>
      </c>
      <c r="Q31">
        <f t="shared" si="15"/>
        <v>1</v>
      </c>
      <c r="R31">
        <f t="shared" si="15"/>
        <v>0</v>
      </c>
      <c r="S31">
        <f t="shared" si="15"/>
        <v>0</v>
      </c>
      <c r="T31">
        <f t="shared" si="15"/>
        <v>1</v>
      </c>
      <c r="U31">
        <f t="shared" si="15"/>
        <v>0</v>
      </c>
      <c r="V31">
        <f t="shared" si="15"/>
        <v>0</v>
      </c>
      <c r="W31">
        <f t="shared" si="15"/>
        <v>1</v>
      </c>
      <c r="X31">
        <f t="shared" si="16"/>
        <v>1</v>
      </c>
      <c r="Y31" t="str">
        <f t="shared" si="17"/>
        <v>10010011</v>
      </c>
      <c r="Z31">
        <f t="shared" si="12"/>
        <v>147</v>
      </c>
      <c r="AB31">
        <f t="shared" si="18"/>
        <v>1</v>
      </c>
      <c r="AC31">
        <f t="shared" si="18"/>
        <v>1</v>
      </c>
      <c r="AD31">
        <f t="shared" si="18"/>
        <v>1</v>
      </c>
      <c r="AE31">
        <f t="shared" si="18"/>
        <v>0</v>
      </c>
      <c r="AF31">
        <f t="shared" si="18"/>
        <v>0</v>
      </c>
      <c r="AG31">
        <f t="shared" si="18"/>
        <v>1</v>
      </c>
      <c r="AH31">
        <f t="shared" si="18"/>
        <v>0</v>
      </c>
      <c r="AI31">
        <f t="shared" si="20"/>
        <v>0</v>
      </c>
      <c r="AJ31" t="str">
        <f t="shared" si="10"/>
        <v>11100100</v>
      </c>
      <c r="AK31">
        <f t="shared" si="14"/>
        <v>228</v>
      </c>
    </row>
    <row r="32" spans="1:37" x14ac:dyDescent="0.25">
      <c r="A32" s="1">
        <v>1</v>
      </c>
      <c r="B32" s="1">
        <v>0</v>
      </c>
      <c r="C32" s="1">
        <v>0</v>
      </c>
      <c r="E32" s="1">
        <f t="shared" si="37"/>
        <v>-0.49999999999999989</v>
      </c>
      <c r="F32" s="1">
        <f t="shared" si="38"/>
        <v>0.40000000000000013</v>
      </c>
      <c r="G32" s="1">
        <f t="shared" si="39"/>
        <v>0.40000000000000013</v>
      </c>
      <c r="H32" s="1">
        <f t="shared" si="40"/>
        <v>-0.49999999999999989</v>
      </c>
      <c r="I32" s="1">
        <f t="shared" si="0"/>
        <v>0</v>
      </c>
      <c r="J32" s="1">
        <v>0</v>
      </c>
      <c r="K32" s="1">
        <f t="shared" si="41"/>
        <v>0</v>
      </c>
      <c r="L32" s="1">
        <f t="shared" si="42"/>
        <v>0</v>
      </c>
      <c r="M32" s="1">
        <f t="shared" si="43"/>
        <v>0</v>
      </c>
      <c r="Q32">
        <f t="shared" si="15"/>
        <v>0</v>
      </c>
      <c r="R32">
        <f t="shared" si="15"/>
        <v>0</v>
      </c>
      <c r="S32">
        <f t="shared" si="15"/>
        <v>1</v>
      </c>
      <c r="T32">
        <f t="shared" si="15"/>
        <v>0</v>
      </c>
      <c r="U32">
        <f t="shared" si="15"/>
        <v>0</v>
      </c>
      <c r="V32">
        <f t="shared" si="15"/>
        <v>1</v>
      </c>
      <c r="W32">
        <f t="shared" si="15"/>
        <v>1</v>
      </c>
      <c r="X32">
        <f t="shared" si="16"/>
        <v>1</v>
      </c>
      <c r="Y32" t="str">
        <f t="shared" si="17"/>
        <v>00100111</v>
      </c>
      <c r="Z32">
        <f t="shared" si="12"/>
        <v>39</v>
      </c>
      <c r="AB32">
        <f t="shared" si="18"/>
        <v>1</v>
      </c>
      <c r="AC32">
        <f t="shared" si="18"/>
        <v>1</v>
      </c>
      <c r="AD32">
        <f t="shared" si="18"/>
        <v>0</v>
      </c>
      <c r="AE32">
        <f t="shared" si="18"/>
        <v>0</v>
      </c>
      <c r="AF32">
        <f t="shared" si="18"/>
        <v>1</v>
      </c>
      <c r="AG32">
        <f t="shared" si="18"/>
        <v>0</v>
      </c>
      <c r="AH32">
        <f t="shared" si="18"/>
        <v>0</v>
      </c>
      <c r="AI32">
        <f t="shared" si="20"/>
        <v>1</v>
      </c>
      <c r="AJ32" t="str">
        <f t="shared" si="10"/>
        <v>11001001</v>
      </c>
      <c r="AK32">
        <f t="shared" si="14"/>
        <v>201</v>
      </c>
    </row>
    <row r="33" spans="1:37" x14ac:dyDescent="0.25">
      <c r="A33" s="1">
        <v>1</v>
      </c>
      <c r="B33" s="1">
        <v>0</v>
      </c>
      <c r="C33" s="1">
        <v>1</v>
      </c>
      <c r="E33" s="1">
        <f t="shared" si="37"/>
        <v>-0.49999999999999989</v>
      </c>
      <c r="F33" s="1">
        <f t="shared" si="38"/>
        <v>0.40000000000000013</v>
      </c>
      <c r="G33" s="1">
        <f t="shared" si="39"/>
        <v>0.40000000000000013</v>
      </c>
      <c r="H33" s="1">
        <f t="shared" si="40"/>
        <v>-9.9999999999999756E-2</v>
      </c>
      <c r="I33" s="1">
        <f t="shared" si="0"/>
        <v>0</v>
      </c>
      <c r="J33" s="1">
        <v>0</v>
      </c>
      <c r="K33" s="1">
        <f t="shared" si="41"/>
        <v>0</v>
      </c>
      <c r="L33" s="1">
        <f t="shared" si="42"/>
        <v>0</v>
      </c>
      <c r="M33" s="1">
        <f t="shared" si="43"/>
        <v>0</v>
      </c>
      <c r="Q33">
        <f t="shared" si="15"/>
        <v>0</v>
      </c>
      <c r="R33">
        <f t="shared" si="15"/>
        <v>1</v>
      </c>
      <c r="S33">
        <f t="shared" si="15"/>
        <v>0</v>
      </c>
      <c r="T33">
        <f t="shared" si="15"/>
        <v>0</v>
      </c>
      <c r="U33">
        <f t="shared" si="15"/>
        <v>1</v>
      </c>
      <c r="V33">
        <f t="shared" si="15"/>
        <v>1</v>
      </c>
      <c r="W33">
        <f t="shared" si="15"/>
        <v>1</v>
      </c>
      <c r="X33">
        <f t="shared" si="16"/>
        <v>0</v>
      </c>
      <c r="Y33" t="str">
        <f t="shared" si="17"/>
        <v>01001110</v>
      </c>
      <c r="Z33">
        <f t="shared" si="12"/>
        <v>78</v>
      </c>
      <c r="AB33">
        <f t="shared" si="18"/>
        <v>1</v>
      </c>
      <c r="AC33">
        <f t="shared" si="18"/>
        <v>0</v>
      </c>
      <c r="AD33">
        <f t="shared" si="18"/>
        <v>0</v>
      </c>
      <c r="AE33">
        <f t="shared" si="18"/>
        <v>1</v>
      </c>
      <c r="AF33">
        <f t="shared" si="18"/>
        <v>0</v>
      </c>
      <c r="AG33">
        <f t="shared" si="18"/>
        <v>0</v>
      </c>
      <c r="AH33">
        <f t="shared" si="18"/>
        <v>1</v>
      </c>
      <c r="AI33">
        <f t="shared" si="20"/>
        <v>1</v>
      </c>
      <c r="AJ33" t="str">
        <f t="shared" si="10"/>
        <v>10010011</v>
      </c>
      <c r="AK33">
        <f t="shared" si="14"/>
        <v>147</v>
      </c>
    </row>
    <row r="34" spans="1:37" x14ac:dyDescent="0.25">
      <c r="A34" s="1">
        <v>1</v>
      </c>
      <c r="B34" s="1">
        <v>1</v>
      </c>
      <c r="C34" s="1">
        <v>0</v>
      </c>
      <c r="E34" s="1">
        <f t="shared" si="37"/>
        <v>-0.49999999999999989</v>
      </c>
      <c r="F34" s="1">
        <f t="shared" si="38"/>
        <v>0.40000000000000013</v>
      </c>
      <c r="G34" s="1">
        <f t="shared" si="39"/>
        <v>0.40000000000000013</v>
      </c>
      <c r="H34" s="1">
        <f t="shared" si="40"/>
        <v>-9.9999999999999756E-2</v>
      </c>
      <c r="I34" s="1">
        <f t="shared" si="0"/>
        <v>0</v>
      </c>
      <c r="J34" s="1">
        <v>0</v>
      </c>
      <c r="K34" s="1">
        <f t="shared" si="41"/>
        <v>0</v>
      </c>
      <c r="L34" s="1">
        <f t="shared" si="42"/>
        <v>0</v>
      </c>
      <c r="M34" s="1">
        <f t="shared" si="43"/>
        <v>0</v>
      </c>
      <c r="Q34">
        <f t="shared" si="15"/>
        <v>1</v>
      </c>
      <c r="R34">
        <f t="shared" si="15"/>
        <v>0</v>
      </c>
      <c r="S34">
        <f t="shared" si="15"/>
        <v>0</v>
      </c>
      <c r="T34">
        <f t="shared" si="15"/>
        <v>1</v>
      </c>
      <c r="U34">
        <f t="shared" si="15"/>
        <v>1</v>
      </c>
      <c r="V34">
        <f t="shared" si="15"/>
        <v>1</v>
      </c>
      <c r="W34">
        <f t="shared" si="15"/>
        <v>0</v>
      </c>
      <c r="X34">
        <f t="shared" si="16"/>
        <v>0</v>
      </c>
      <c r="Y34" t="str">
        <f t="shared" si="17"/>
        <v>10011100</v>
      </c>
      <c r="Z34">
        <f t="shared" si="12"/>
        <v>156</v>
      </c>
      <c r="AB34">
        <f t="shared" si="18"/>
        <v>0</v>
      </c>
      <c r="AC34">
        <f t="shared" si="18"/>
        <v>0</v>
      </c>
      <c r="AD34">
        <f t="shared" si="18"/>
        <v>1</v>
      </c>
      <c r="AE34">
        <f t="shared" si="18"/>
        <v>0</v>
      </c>
      <c r="AF34">
        <f t="shared" si="18"/>
        <v>0</v>
      </c>
      <c r="AG34">
        <f t="shared" si="18"/>
        <v>1</v>
      </c>
      <c r="AH34">
        <f t="shared" si="18"/>
        <v>1</v>
      </c>
      <c r="AI34">
        <f t="shared" si="20"/>
        <v>1</v>
      </c>
      <c r="AJ34" t="str">
        <f t="shared" si="10"/>
        <v>00100111</v>
      </c>
      <c r="AK34">
        <f t="shared" si="14"/>
        <v>39</v>
      </c>
    </row>
    <row r="35" spans="1:37" x14ac:dyDescent="0.25">
      <c r="A35" s="1">
        <v>1</v>
      </c>
      <c r="B35" s="1">
        <v>1</v>
      </c>
      <c r="C35" s="1">
        <v>1</v>
      </c>
      <c r="E35" s="1">
        <f t="shared" si="37"/>
        <v>-0.49999999999999989</v>
      </c>
      <c r="F35" s="1">
        <f t="shared" si="38"/>
        <v>0.40000000000000013</v>
      </c>
      <c r="G35" s="1">
        <f t="shared" si="39"/>
        <v>0.40000000000000013</v>
      </c>
      <c r="H35" s="1">
        <f t="shared" si="40"/>
        <v>0.30000000000000038</v>
      </c>
      <c r="I35" s="1">
        <f t="shared" si="0"/>
        <v>1</v>
      </c>
      <c r="J35" s="1">
        <v>1</v>
      </c>
      <c r="K35" s="1">
        <f t="shared" si="41"/>
        <v>0</v>
      </c>
      <c r="L35" s="1">
        <f t="shared" si="42"/>
        <v>0</v>
      </c>
      <c r="M35" s="1">
        <f t="shared" si="43"/>
        <v>0</v>
      </c>
      <c r="Q35">
        <f t="shared" si="15"/>
        <v>0</v>
      </c>
      <c r="R35">
        <f t="shared" si="15"/>
        <v>0</v>
      </c>
      <c r="S35">
        <f t="shared" si="15"/>
        <v>1</v>
      </c>
      <c r="T35">
        <f t="shared" si="15"/>
        <v>1</v>
      </c>
      <c r="U35">
        <f t="shared" si="15"/>
        <v>1</v>
      </c>
      <c r="V35">
        <f t="shared" si="15"/>
        <v>0</v>
      </c>
      <c r="W35">
        <f t="shared" si="15"/>
        <v>0</v>
      </c>
      <c r="X35">
        <f t="shared" si="16"/>
        <v>1</v>
      </c>
      <c r="Y35" t="str">
        <f t="shared" si="17"/>
        <v>00111001</v>
      </c>
      <c r="Z35">
        <f t="shared" si="12"/>
        <v>57</v>
      </c>
      <c r="AB35">
        <f t="shared" si="18"/>
        <v>0</v>
      </c>
      <c r="AC35">
        <f t="shared" si="18"/>
        <v>1</v>
      </c>
      <c r="AD35">
        <f t="shared" si="18"/>
        <v>0</v>
      </c>
      <c r="AE35">
        <f t="shared" si="18"/>
        <v>0</v>
      </c>
      <c r="AF35">
        <f t="shared" si="18"/>
        <v>1</v>
      </c>
      <c r="AG35">
        <f t="shared" si="18"/>
        <v>1</v>
      </c>
      <c r="AH35">
        <f t="shared" si="18"/>
        <v>1</v>
      </c>
      <c r="AI35">
        <f t="shared" si="20"/>
        <v>0</v>
      </c>
      <c r="AJ35" t="str">
        <f t="shared" si="10"/>
        <v>01001110</v>
      </c>
      <c r="AK35">
        <f t="shared" si="14"/>
        <v>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Series_K</vt:lpstr>
      <vt:lpstr>XOR_2</vt:lpstr>
      <vt:lpstr>RGB (3)</vt:lpstr>
      <vt:lpstr>RGB (2)</vt:lpstr>
      <vt:lpstr>RGB</vt:lpstr>
      <vt:lpstr>XOR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Currier</dc:creator>
  <cp:lastModifiedBy>Matt Currier</cp:lastModifiedBy>
  <dcterms:created xsi:type="dcterms:W3CDTF">2018-11-24T16:26:05Z</dcterms:created>
  <dcterms:modified xsi:type="dcterms:W3CDTF">2018-12-05T16:14:37Z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da56be38-10a5-48f1-9a92-407e2e7159c1</vt:lpwstr>
  </property>
</Properties>
</file>