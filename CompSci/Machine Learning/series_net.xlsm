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CDDDD638-B8FA-4B2F-958C-8AD119987884}" xr6:coauthVersionLast="40" xr6:coauthVersionMax="40" xr10:uidLastSave="{00000000-0000-0000-0000-000000000000}"/>
  <bookViews>
    <workbookView xWindow="4995" yWindow="0" windowWidth="27135" windowHeight="12810" xr2:uid="{5929E57B-641E-4B61-A0A9-D3BB78A46ED8}"/>
  </bookViews>
  <sheets>
    <sheet name="Series_T" sheetId="1" r:id="rId1"/>
    <sheet name="Gen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8" i="2"/>
  <c r="E8" i="2" s="1"/>
  <c r="C9" i="2" l="1"/>
  <c r="E9" i="2" s="1"/>
  <c r="K8" i="2"/>
  <c r="D8" i="2"/>
  <c r="D12" i="2"/>
  <c r="C10" i="2"/>
  <c r="C11" i="2"/>
  <c r="C12" i="2"/>
  <c r="D9" i="2"/>
  <c r="D10" i="2"/>
  <c r="D11" i="2"/>
  <c r="B2" i="1"/>
  <c r="C2" i="1" s="1"/>
  <c r="B25" i="1" s="1"/>
  <c r="B3" i="1"/>
  <c r="N8" i="2" l="1"/>
  <c r="E10" i="2"/>
  <c r="C3" i="1"/>
  <c r="E11" i="2" l="1"/>
  <c r="Q8" i="2"/>
  <c r="B26" i="1"/>
  <c r="C4" i="1"/>
  <c r="C5" i="1" s="1"/>
  <c r="C6" i="1" s="1"/>
  <c r="C7" i="1" s="1"/>
  <c r="C8" i="1" s="1"/>
  <c r="C9" i="1" s="1"/>
  <c r="C10" i="1" s="1"/>
  <c r="C11" i="1" s="1"/>
  <c r="E12" i="2" l="1"/>
  <c r="T8" i="2"/>
  <c r="B27" i="1"/>
  <c r="B28" i="1"/>
  <c r="F8" i="2" l="1"/>
  <c r="W8" i="2"/>
  <c r="B29" i="1"/>
  <c r="F9" i="2" l="1"/>
  <c r="Z8" i="2"/>
  <c r="B30" i="1"/>
  <c r="F10" i="2" l="1"/>
  <c r="AC8" i="2"/>
  <c r="B31" i="1"/>
  <c r="F11" i="2" l="1"/>
  <c r="AF8" i="2"/>
  <c r="B32" i="1"/>
  <c r="F12" i="2" l="1"/>
  <c r="K11" i="2" s="1"/>
  <c r="AI8" i="2"/>
  <c r="B33" i="1"/>
  <c r="K12" i="2" l="1"/>
  <c r="K9" i="2"/>
  <c r="K10" i="2"/>
  <c r="AL8" i="2"/>
  <c r="G8" i="2"/>
  <c r="B34" i="1"/>
  <c r="G9" i="2" l="1"/>
  <c r="B4" i="1"/>
  <c r="AD2" i="1"/>
  <c r="G10" i="2" l="1"/>
  <c r="AD3" i="1"/>
  <c r="AE3" i="1" s="1"/>
  <c r="AE2" i="1"/>
  <c r="D2" i="1"/>
  <c r="D3" i="1"/>
  <c r="D4" i="1"/>
  <c r="D5" i="1"/>
  <c r="D6" i="1"/>
  <c r="D7" i="1"/>
  <c r="D8" i="1"/>
  <c r="D9" i="1"/>
  <c r="D10" i="1"/>
  <c r="D11" i="1"/>
  <c r="G11" i="2" l="1"/>
  <c r="AD4" i="1"/>
  <c r="AE4" i="1" s="1"/>
  <c r="P11" i="1"/>
  <c r="P5" i="1"/>
  <c r="P7" i="1"/>
  <c r="P9" i="1"/>
  <c r="P3" i="1"/>
  <c r="P4" i="1"/>
  <c r="P6" i="1"/>
  <c r="P8" i="1"/>
  <c r="P10" i="1"/>
  <c r="P2" i="1"/>
  <c r="G12" i="2" l="1"/>
  <c r="AD5" i="1"/>
  <c r="AE5" i="1" s="1"/>
  <c r="AB6" i="1"/>
  <c r="AB9" i="1"/>
  <c r="AB3" i="1"/>
  <c r="AB11" i="1"/>
  <c r="AB8" i="1"/>
  <c r="AB4" i="1"/>
  <c r="AB7" i="1"/>
  <c r="AB5" i="1"/>
  <c r="AB10" i="1"/>
  <c r="AB2" i="1"/>
  <c r="AB16" i="1" l="1"/>
  <c r="AB15" i="1"/>
  <c r="AB17" i="1"/>
  <c r="AB14" i="1"/>
  <c r="H8" i="2"/>
  <c r="AD6" i="1"/>
  <c r="AE6" i="1" s="1"/>
  <c r="AB18" i="1" s="1"/>
  <c r="AC9" i="1"/>
  <c r="B42" i="1" s="1"/>
  <c r="AC3" i="1"/>
  <c r="B36" i="1" s="1"/>
  <c r="AC2" i="1"/>
  <c r="B35" i="1" s="1"/>
  <c r="AC10" i="1"/>
  <c r="B43" i="1" s="1"/>
  <c r="AC11" i="1"/>
  <c r="B44" i="1" s="1"/>
  <c r="AC8" i="1"/>
  <c r="B41" i="1" s="1"/>
  <c r="AC4" i="1"/>
  <c r="B37" i="1" s="1"/>
  <c r="AC7" i="1"/>
  <c r="B40" i="1" s="1"/>
  <c r="AC6" i="1"/>
  <c r="B39" i="1" s="1"/>
  <c r="AC5" i="1"/>
  <c r="B38" i="1" s="1"/>
  <c r="AA17" i="1" l="1"/>
  <c r="S17" i="1"/>
  <c r="Y17" i="1"/>
  <c r="X17" i="1"/>
  <c r="T17" i="1"/>
  <c r="R17" i="1"/>
  <c r="V17" i="1"/>
  <c r="Z17" i="1"/>
  <c r="W17" i="1"/>
  <c r="U17" i="1"/>
  <c r="U15" i="1"/>
  <c r="T15" i="1"/>
  <c r="W15" i="1"/>
  <c r="Z15" i="1"/>
  <c r="X15" i="1"/>
  <c r="S15" i="1"/>
  <c r="Y15" i="1"/>
  <c r="AA15" i="1"/>
  <c r="V15" i="1"/>
  <c r="R15" i="1"/>
  <c r="W18" i="1"/>
  <c r="V18" i="1"/>
  <c r="Y18" i="1"/>
  <c r="Z18" i="1"/>
  <c r="T18" i="1"/>
  <c r="U18" i="1"/>
  <c r="X18" i="1"/>
  <c r="AA18" i="1"/>
  <c r="S18" i="1"/>
  <c r="R18" i="1"/>
  <c r="Y14" i="1"/>
  <c r="X14" i="1"/>
  <c r="V14" i="1"/>
  <c r="W14" i="1"/>
  <c r="Z14" i="1"/>
  <c r="U14" i="1"/>
  <c r="S14" i="1"/>
  <c r="R14" i="1"/>
  <c r="T14" i="1"/>
  <c r="U16" i="1"/>
  <c r="AA16" i="1"/>
  <c r="S16" i="1"/>
  <c r="Z16" i="1"/>
  <c r="R16" i="1"/>
  <c r="X16" i="1"/>
  <c r="T16" i="1"/>
  <c r="Y16" i="1"/>
  <c r="W16" i="1"/>
  <c r="V16" i="1"/>
  <c r="AA14" i="1"/>
  <c r="H9" i="2"/>
  <c r="AD7" i="1"/>
  <c r="AE7" i="1" s="1"/>
  <c r="AB19" i="1" s="1"/>
  <c r="Q15" i="1"/>
  <c r="Q18" i="1"/>
  <c r="Q16" i="1"/>
  <c r="Q17" i="1"/>
  <c r="Q14" i="1"/>
  <c r="P17" i="1" l="1"/>
  <c r="P16" i="1"/>
  <c r="P18" i="1"/>
  <c r="P15" i="1"/>
  <c r="P14" i="1"/>
  <c r="W19" i="1"/>
  <c r="U19" i="1"/>
  <c r="T19" i="1"/>
  <c r="X19" i="1"/>
  <c r="S19" i="1"/>
  <c r="Y19" i="1"/>
  <c r="AA19" i="1"/>
  <c r="V19" i="1"/>
  <c r="R19" i="1"/>
  <c r="Z19" i="1"/>
  <c r="H10" i="2"/>
  <c r="AD8" i="1"/>
  <c r="AE8" i="1" s="1"/>
  <c r="AB20" i="1" s="1"/>
  <c r="Q19" i="1"/>
  <c r="P19" i="1" l="1"/>
  <c r="U20" i="1"/>
  <c r="AA20" i="1"/>
  <c r="S20" i="1"/>
  <c r="Z20" i="1"/>
  <c r="R20" i="1"/>
  <c r="V20" i="1"/>
  <c r="X20" i="1"/>
  <c r="W20" i="1"/>
  <c r="Y20" i="1"/>
  <c r="T20" i="1"/>
  <c r="H11" i="2"/>
  <c r="AD9" i="1"/>
  <c r="AE9" i="1" s="1"/>
  <c r="AB21" i="1" s="1"/>
  <c r="Q20" i="1"/>
  <c r="P20" i="1" l="1"/>
  <c r="AA21" i="1"/>
  <c r="Y21" i="1"/>
  <c r="X21" i="1"/>
  <c r="S21" i="1"/>
  <c r="U21" i="1"/>
  <c r="Z21" i="1"/>
  <c r="T21" i="1"/>
  <c r="R21" i="1"/>
  <c r="V21" i="1"/>
  <c r="W21" i="1"/>
  <c r="H12" i="2"/>
  <c r="AD10" i="1"/>
  <c r="AE10" i="1" s="1"/>
  <c r="AB22" i="1" s="1"/>
  <c r="Q21" i="1"/>
  <c r="P21" i="1" l="1"/>
  <c r="Y22" i="1"/>
  <c r="W22" i="1"/>
  <c r="V22" i="1"/>
  <c r="U22" i="1"/>
  <c r="R22" i="1"/>
  <c r="Z22" i="1"/>
  <c r="S22" i="1"/>
  <c r="AA22" i="1"/>
  <c r="X22" i="1"/>
  <c r="T22" i="1"/>
  <c r="AD11" i="1"/>
  <c r="AE11" i="1" s="1"/>
  <c r="AB23" i="1" s="1"/>
  <c r="Q22" i="1"/>
  <c r="P22" i="1" l="1"/>
  <c r="W23" i="1"/>
  <c r="U23" i="1"/>
  <c r="T23" i="1"/>
  <c r="Z23" i="1"/>
  <c r="V23" i="1"/>
  <c r="X23" i="1"/>
  <c r="S23" i="1"/>
  <c r="AA23" i="1"/>
  <c r="Y23" i="1"/>
  <c r="R23" i="1"/>
  <c r="Q23" i="1"/>
  <c r="P23" i="1" l="1"/>
  <c r="N23" i="1" s="1"/>
  <c r="J17" i="1"/>
  <c r="N17" i="1"/>
  <c r="G17" i="1"/>
  <c r="F17" i="1"/>
  <c r="M17" i="1"/>
  <c r="L17" i="1"/>
  <c r="I17" i="1"/>
  <c r="K17" i="1"/>
  <c r="H17" i="1"/>
  <c r="G18" i="1"/>
  <c r="H18" i="1"/>
  <c r="K18" i="1"/>
  <c r="I18" i="1"/>
  <c r="L18" i="1"/>
  <c r="F18" i="1"/>
  <c r="M18" i="1"/>
  <c r="J18" i="1"/>
  <c r="N18" i="1"/>
  <c r="H16" i="1"/>
  <c r="L16" i="1"/>
  <c r="G16" i="1"/>
  <c r="F16" i="1"/>
  <c r="K16" i="1"/>
  <c r="J16" i="1"/>
  <c r="I16" i="1"/>
  <c r="N16" i="1"/>
  <c r="M16" i="1"/>
  <c r="K14" i="1"/>
  <c r="F14" i="1"/>
  <c r="H14" i="1"/>
  <c r="G14" i="1"/>
  <c r="M14" i="1"/>
  <c r="I14" i="1"/>
  <c r="J14" i="1"/>
  <c r="N14" i="1"/>
  <c r="L14" i="1"/>
  <c r="M15" i="1"/>
  <c r="G15" i="1"/>
  <c r="I15" i="1"/>
  <c r="L15" i="1"/>
  <c r="H15" i="1"/>
  <c r="J15" i="1"/>
  <c r="F15" i="1"/>
  <c r="K15" i="1"/>
  <c r="N15" i="1"/>
  <c r="G19" i="1"/>
  <c r="K19" i="1"/>
  <c r="N19" i="1"/>
  <c r="M19" i="1"/>
  <c r="F19" i="1"/>
  <c r="L19" i="1"/>
  <c r="H19" i="1"/>
  <c r="J19" i="1"/>
  <c r="I19" i="1"/>
  <c r="E19" i="1"/>
  <c r="N20" i="1"/>
  <c r="G20" i="1"/>
  <c r="J20" i="1"/>
  <c r="I20" i="1"/>
  <c r="M20" i="1"/>
  <c r="F20" i="1"/>
  <c r="L20" i="1"/>
  <c r="H20" i="1"/>
  <c r="K20" i="1"/>
  <c r="F21" i="1"/>
  <c r="G21" i="1"/>
  <c r="N21" i="1"/>
  <c r="I21" i="1"/>
  <c r="K21" i="1"/>
  <c r="L21" i="1"/>
  <c r="H21" i="1"/>
  <c r="M21" i="1"/>
  <c r="J21" i="1"/>
  <c r="G22" i="1"/>
  <c r="I22" i="1"/>
  <c r="N22" i="1"/>
  <c r="J22" i="1"/>
  <c r="K22" i="1"/>
  <c r="M22" i="1"/>
  <c r="H22" i="1"/>
  <c r="F22" i="1"/>
  <c r="L22" i="1"/>
  <c r="E14" i="1"/>
  <c r="E17" i="1"/>
  <c r="E22" i="1"/>
  <c r="E15" i="1"/>
  <c r="E20" i="1"/>
  <c r="E18" i="1"/>
  <c r="E21" i="1"/>
  <c r="E16" i="1"/>
  <c r="L23" i="1" l="1"/>
  <c r="G23" i="1"/>
  <c r="H23" i="1"/>
  <c r="K23" i="1"/>
  <c r="M23" i="1"/>
  <c r="I23" i="1"/>
  <c r="E23" i="1"/>
  <c r="J23" i="1"/>
  <c r="F23" i="1"/>
</calcChain>
</file>

<file path=xl/sharedStrings.xml><?xml version="1.0" encoding="utf-8"?>
<sst xmlns="http://schemas.openxmlformats.org/spreadsheetml/2006/main" count="50" uniqueCount="36">
  <si>
    <t>Result</t>
  </si>
  <si>
    <t>step</t>
  </si>
  <si>
    <t>start</t>
  </si>
  <si>
    <t>learning
coefficient</t>
  </si>
  <si>
    <t>bias</t>
  </si>
  <si>
    <t>expected</t>
  </si>
  <si>
    <t>out</t>
  </si>
  <si>
    <t>thru</t>
  </si>
  <si>
    <t>in</t>
  </si>
  <si>
    <t>max</t>
  </si>
  <si>
    <t>{</t>
  </si>
  <si>
    <t>"K1":</t>
  </si>
  <si>
    <t>"K2":</t>
  </si>
  <si>
    <t>"K3":</t>
  </si>
  <si>
    <t>"K4":</t>
  </si>
  <si>
    <t>"K5":</t>
  </si>
  <si>
    <t>"K6":</t>
  </si>
  <si>
    <t>"K7":</t>
  </si>
  <si>
    <t>"K8":</t>
  </si>
  <si>
    <t>"K9":</t>
  </si>
  <si>
    <t>"K0":</t>
  </si>
  <si>
    <t>,</t>
  </si>
  <si>
    <t>[{</t>
  </si>
  <si>
    <t>},</t>
  </si>
  <si>
    <t>Kernel</t>
  </si>
  <si>
    <t>rise</t>
  </si>
  <si>
    <t>fall</t>
  </si>
  <si>
    <t>peak</t>
  </si>
  <si>
    <t>trough</t>
  </si>
  <si>
    <t>"rise":</t>
  </si>
  <si>
    <t>"fall":</t>
  </si>
  <si>
    <t>"peak":</t>
  </si>
  <si>
    <t>"trough":</t>
  </si>
  <si>
    <t>}],</t>
  </si>
  <si>
    <t>delta</t>
  </si>
  <si>
    <t>expect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</si>
</sst>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"/>
    <numFmt numFmtId="166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theme="1"/>
      <name val="Consolas"/>
      <family val="3"/>
    </font>
    <font>
      <sz val="12"/>
      <color theme="1"/>
      <name val="Consolas"/>
      <family val="3"/>
    </font>
    <font>
      <sz val="9"/>
      <color theme="1"/>
      <name val="Consolas"/>
      <family val="3"/>
    </font>
    <font>
      <b/>
      <u/>
      <sz val="10"/>
      <color theme="1"/>
      <name val="Consolas"/>
      <family val="3"/>
    </font>
    <font>
      <b/>
      <sz val="10"/>
      <color theme="1"/>
      <name val="Consolas"/>
      <family val="3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1" fontId="4" fillId="0" borderId="0" xfId="0" applyNumberFormat="1" applyFont="1"/>
    <xf numFmtId="1" fontId="3" fillId="0" borderId="0" xfId="0" applyNumberFormat="1" applyFont="1"/>
    <xf numFmtId="0" fontId="5" fillId="0" borderId="0" xfId="0" applyFont="1"/>
    <xf numFmtId="164" fontId="5" fillId="0" borderId="0" xfId="0" applyNumberFormat="1" applyFont="1"/>
    <xf numFmtId="164" fontId="3" fillId="0" borderId="0" xfId="0" applyNumberFormat="1" applyFont="1"/>
    <xf numFmtId="0" fontId="3" fillId="0" borderId="0" xfId="0" applyFont="1" applyAlignment="1">
      <alignment horizontal="center"/>
    </xf>
    <xf numFmtId="1" fontId="6" fillId="0" borderId="0" xfId="0" applyNumberFormat="1" applyFont="1"/>
    <xf numFmtId="164" fontId="7" fillId="0" borderId="0" xfId="0" applyNumberFormat="1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8" fillId="0" borderId="0" xfId="0" applyFont="1"/>
    <xf numFmtId="1" fontId="0" fillId="0" borderId="0" xfId="0" applyNumberFormat="1"/>
    <xf numFmtId="2" fontId="3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166" fontId="6" fillId="0" borderId="0" xfId="0" applyNumberFormat="1" applyFont="1" applyAlignment="1">
      <alignment horizontal="right" inden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4DC5697-7E68-4B45-B5C9-C6CBB982EB3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Series_T!$A$25:$A$44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Series_T!$B$25:$B$44</c:f>
              <c:numCache>
                <c:formatCode>General</c:formatCode>
                <c:ptCount val="20"/>
                <c:pt idx="0">
                  <c:v>631</c:v>
                </c:pt>
                <c:pt idx="1">
                  <c:v>632.92328750638251</c:v>
                </c:pt>
                <c:pt idx="2">
                  <c:v>633.15368300997068</c:v>
                </c:pt>
                <c:pt idx="3">
                  <c:v>635.0890387325536</c:v>
                </c:pt>
                <c:pt idx="4">
                  <c:v>635.74546675307772</c:v>
                </c:pt>
                <c:pt idx="5">
                  <c:v>637.03315909114735</c:v>
                </c:pt>
                <c:pt idx="6">
                  <c:v>638.0665973506209</c:v>
                </c:pt>
                <c:pt idx="7">
                  <c:v>638.36036960695105</c:v>
                </c:pt>
                <c:pt idx="8">
                  <c:v>639.65341147648439</c:v>
                </c:pt>
                <c:pt idx="9">
                  <c:v>641.54802824075341</c:v>
                </c:pt>
                <c:pt idx="10" formatCode="0">
                  <c:v>609.94598493165324</c:v>
                </c:pt>
                <c:pt idx="11" formatCode="0">
                  <c:v>612.05845082800442</c:v>
                </c:pt>
                <c:pt idx="12" formatCode="0">
                  <c:v>615.36251489964548</c:v>
                </c:pt>
                <c:pt idx="13" formatCode="0">
                  <c:v>618.55516383682811</c:v>
                </c:pt>
                <c:pt idx="14" formatCode="0">
                  <c:v>616.3619146899606</c:v>
                </c:pt>
                <c:pt idx="15" formatCode="0">
                  <c:v>615.34557929715197</c:v>
                </c:pt>
                <c:pt idx="16" formatCode="0">
                  <c:v>614.42241398612828</c:v>
                </c:pt>
                <c:pt idx="17" formatCode="0">
                  <c:v>613.93799614108275</c:v>
                </c:pt>
                <c:pt idx="18" formatCode="0">
                  <c:v>617.65236015954963</c:v>
                </c:pt>
                <c:pt idx="19" formatCode="0">
                  <c:v>619.57610160322167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4F-4786-816F-FF8574C1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666032"/>
        <c:axId val="719658488"/>
      </c:lineChart>
      <c:catAx>
        <c:axId val="71966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58488"/>
        <c:crosses val="autoZero"/>
        <c:auto val="1"/>
        <c:lblAlgn val="ctr"/>
        <c:lblOffset val="100"/>
        <c:noMultiLvlLbl val="0"/>
      </c:catAx>
      <c:valAx>
        <c:axId val="71965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6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442912</xdr:colOff>
      <xdr:row>23</xdr:row>
      <xdr:rowOff>185736</xdr:rowOff>
    </xdr:from>
    <xdr:to>
      <xdr:col>18</xdr:col>
      <xdr:colOff>0</xdr:colOff>
      <xdr:row>39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E7CC92-66C1-49B6-8866-65FF98CFB2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7FA8-0DC4-41F9-8FE8-62A25C025F22}">
  <sheetPr codeName="Sheet7"/>
  <dimension ref="A1:AJ44"/>
  <sheetViews>
    <sheetView tabSelected="1" workbookViewId="0">
      <pane ySplit="1" topLeftCell="A2" activePane="bottomLeft" state="frozenSplit"/>
      <selection pane="bottomLeft" activeCell="R2" sqref="R2:AA11"/>
    </sheetView>
  </sheetViews>
  <sheetFormatPr defaultColWidth="6.7109375" defaultRowHeight="15.75" x14ac:dyDescent="0.25"/>
  <cols>
    <col min="4" max="4" width="7" bestFit="1" customWidth="1"/>
    <col min="5" max="5" width="7.85546875" bestFit="1" customWidth="1"/>
    <col min="6" max="9" width="8" bestFit="1" customWidth="1"/>
    <col min="10" max="15" width="6.7109375" customWidth="1"/>
    <col min="16" max="16" width="8" bestFit="1" customWidth="1"/>
    <col min="17" max="17" width="6.7109375" customWidth="1"/>
    <col min="18" max="18" width="9" bestFit="1" customWidth="1"/>
    <col min="19" max="27" width="6.7109375" customWidth="1"/>
    <col min="28" max="28" width="9" customWidth="1"/>
    <col min="29" max="29" width="7.85546875" bestFit="1" customWidth="1"/>
    <col min="30" max="30" width="9.5703125" style="2" bestFit="1" customWidth="1"/>
    <col min="31" max="31" width="8.7109375" style="1" bestFit="1" customWidth="1"/>
    <col min="32" max="32" width="9.28515625" customWidth="1"/>
    <col min="33" max="33" width="9" bestFit="1" customWidth="1"/>
    <col min="36" max="36" width="6.85546875" bestFit="1" customWidth="1"/>
    <col min="37" max="37" width="10.42578125" customWidth="1"/>
  </cols>
  <sheetData>
    <row r="1" spans="1:36" s="12" customFormat="1" ht="32.25" customHeight="1" x14ac:dyDescent="0.25">
      <c r="D1" s="13" t="s">
        <v>8</v>
      </c>
      <c r="P1" s="13" t="s">
        <v>7</v>
      </c>
      <c r="Q1" s="13"/>
      <c r="AB1" s="19" t="s">
        <v>6</v>
      </c>
      <c r="AC1" s="19"/>
      <c r="AD1" s="18" t="s">
        <v>5</v>
      </c>
      <c r="AE1" s="18"/>
      <c r="AI1" s="12" t="s">
        <v>4</v>
      </c>
      <c r="AJ1" s="12" t="s">
        <v>3</v>
      </c>
    </row>
    <row r="2" spans="1:36" ht="15" x14ac:dyDescent="0.25">
      <c r="A2" t="s">
        <v>2</v>
      </c>
      <c r="B2" s="3">
        <f ca="1">RANDBETWEEN(0,1000)</f>
        <v>631</v>
      </c>
      <c r="C2" s="3">
        <f ca="1">B2</f>
        <v>631</v>
      </c>
      <c r="D2" s="11">
        <f ca="1">C2/$B$4</f>
        <v>0.98355847453903322</v>
      </c>
      <c r="E2" s="7">
        <v>0.135008755922987</v>
      </c>
      <c r="F2" s="7">
        <v>0.55849247426751891</v>
      </c>
      <c r="G2" s="7">
        <v>5.242983756532571E-2</v>
      </c>
      <c r="H2" s="7">
        <v>0.58470957862177697</v>
      </c>
      <c r="I2" s="7">
        <v>0.50171851330968298</v>
      </c>
      <c r="J2" s="7">
        <v>0.4555186720079179</v>
      </c>
      <c r="K2" s="7">
        <v>0.64585182578086509</v>
      </c>
      <c r="L2" s="7">
        <v>0.45651957757675149</v>
      </c>
      <c r="M2" s="7">
        <v>0.75184177190325074</v>
      </c>
      <c r="N2" s="7">
        <v>0.5928601572088984</v>
      </c>
      <c r="O2" s="7"/>
      <c r="P2" s="11">
        <f ca="1">softsign(SUM((E2*D$2),(F2*D$3),(G2*D$4),(H2*D$5),(I2*D$6),(J2*D$7),(K2*D$8),(L2*D$9),(M2*D$10),(N2*D$11)),$AI$2)</f>
        <v>0.81044004853982965</v>
      </c>
      <c r="Q2" s="11"/>
      <c r="R2" s="7">
        <v>43.44763324525718</v>
      </c>
      <c r="S2" s="7">
        <v>43.683358235603649</v>
      </c>
      <c r="T2" s="7">
        <v>43.321561400948127</v>
      </c>
      <c r="U2" s="7">
        <v>43.450689784344902</v>
      </c>
      <c r="V2" s="7">
        <v>43.390305960856907</v>
      </c>
      <c r="W2" s="7">
        <v>43.804947742943583</v>
      </c>
      <c r="X2" s="7">
        <v>43.015248136872771</v>
      </c>
      <c r="Y2" s="7">
        <v>43.10956775681305</v>
      </c>
      <c r="Z2" s="7">
        <v>43.943976346006977</v>
      </c>
      <c r="AA2" s="7">
        <v>43.512559702500823</v>
      </c>
      <c r="AB2" s="11">
        <f ca="1">softsign((R2*P$2)+(S2*P$3)+(T2*P$4)+(U2*P$5)+(V2*P$6)+(W2*P$7)+(X2*P$8)+(Y2*P$9)+(Z2*P$10)+(AA2*P$11),$AI$2)</f>
        <v>0.92199803928624069</v>
      </c>
      <c r="AC2" s="10">
        <f ca="1">AB2*($B$4+(10*$B$3))</f>
        <v>609.94598493165324</v>
      </c>
      <c r="AD2" s="5">
        <f ca="1">C11+B3</f>
        <v>643.54802824075341</v>
      </c>
      <c r="AE2" s="8">
        <f ca="1">AD2/$B$4</f>
        <v>1.0031174595072552</v>
      </c>
      <c r="AG2" s="3"/>
      <c r="AH2" s="3"/>
      <c r="AI2" s="3">
        <v>0.1</v>
      </c>
      <c r="AJ2" s="3">
        <v>0.1</v>
      </c>
    </row>
    <row r="3" spans="1:36" ht="15" x14ac:dyDescent="0.25">
      <c r="A3" t="s">
        <v>1</v>
      </c>
      <c r="B3" s="3">
        <f ca="1">RANDBETWEEN(-10,10)</f>
        <v>2</v>
      </c>
      <c r="C3" s="3">
        <f ca="1">C2+($B$3*RAND())</f>
        <v>632.92328750638251</v>
      </c>
      <c r="D3" s="11">
        <f ca="1">C3/$B$4</f>
        <v>0.9865563600000119</v>
      </c>
      <c r="E3" s="7">
        <v>-0.55208191166611031</v>
      </c>
      <c r="F3" s="7">
        <v>-4.895735140894486E-2</v>
      </c>
      <c r="G3" s="7">
        <v>-0.12259675004638726</v>
      </c>
      <c r="H3" s="7">
        <v>-0.20876888558265105</v>
      </c>
      <c r="I3" s="7">
        <v>0.13713667383946693</v>
      </c>
      <c r="J3" s="7">
        <v>-0.29424171779546027</v>
      </c>
      <c r="K3" s="7">
        <v>0.11603166958783284</v>
      </c>
      <c r="L3" s="7">
        <v>-0.54247904854611562</v>
      </c>
      <c r="M3" s="7">
        <v>-0.23450572997845009</v>
      </c>
      <c r="N3" s="7">
        <v>-0.5476869989163945</v>
      </c>
      <c r="O3" s="7"/>
      <c r="P3" s="11">
        <f t="shared" ref="P3:P11" ca="1" si="0">softsign(SUM((E3*D$2),(F3*D$3),(G3*D$4),(H3*D$5),(I3*D$6),(J3*D$7),(K3*D$8),(L3*D$9),(M3*D$10),(N3*D$11)),$AI$2)</f>
        <v>-0.67466403475118153</v>
      </c>
      <c r="Q3" s="11"/>
      <c r="R3" s="7">
        <v>43.518675242577778</v>
      </c>
      <c r="S3" s="7">
        <v>44.114127076097184</v>
      </c>
      <c r="T3" s="7">
        <v>43.384802982387647</v>
      </c>
      <c r="U3" s="7">
        <v>43.479270336238407</v>
      </c>
      <c r="V3" s="7">
        <v>44.042493011057196</v>
      </c>
      <c r="W3" s="7">
        <v>43.375402154540915</v>
      </c>
      <c r="X3" s="7">
        <v>43.505658125908475</v>
      </c>
      <c r="Y3" s="7">
        <v>43.514526133688953</v>
      </c>
      <c r="Z3" s="7">
        <v>43.552280070047395</v>
      </c>
      <c r="AA3" s="7">
        <v>43.461453902565204</v>
      </c>
      <c r="AB3" s="11">
        <f t="shared" ref="AB3:AB11" ca="1" si="1">softsign((R3*P$2)+(S3*P$3)+(T3*P$4)+(U3*P$5)+(V3*P$6)+(W3*P$7)+(X3*P$8)+(Y3*P$9)+(Z3*P$10)+(AA3*P$11),$AI$2)</f>
        <v>0.92519125550966275</v>
      </c>
      <c r="AC3" s="10">
        <f ca="1">AB3*($B$4+(10*$B$3))</f>
        <v>612.05845082800442</v>
      </c>
      <c r="AD3" s="5">
        <f t="shared" ref="AD3:AD11" ca="1" si="2">AD2+$B$3</f>
        <v>645.54802824075341</v>
      </c>
      <c r="AE3" s="8">
        <f ca="1">AD3/$B$4</f>
        <v>1.0062349190145106</v>
      </c>
      <c r="AG3" s="3"/>
      <c r="AH3" s="3"/>
      <c r="AI3" s="3"/>
      <c r="AJ3" s="3"/>
    </row>
    <row r="4" spans="1:36" ht="15" x14ac:dyDescent="0.25">
      <c r="A4" t="s">
        <v>9</v>
      </c>
      <c r="B4" s="3">
        <f ca="1">MAX(C2:C11)</f>
        <v>641.54802824075341</v>
      </c>
      <c r="C4" s="3">
        <f t="shared" ref="C4:C11" ca="1" si="3">C3+($B$3*RAND())</f>
        <v>633.15368300997068</v>
      </c>
      <c r="D4" s="11">
        <f ca="1">C4/$B$4</f>
        <v>0.98691548432655674</v>
      </c>
      <c r="E4" s="7">
        <v>0.15847563834266976</v>
      </c>
      <c r="F4" s="7">
        <v>0.82826364618742432</v>
      </c>
      <c r="G4" s="7">
        <v>1.0554261289707054</v>
      </c>
      <c r="H4" s="7">
        <v>0.17904074636036715</v>
      </c>
      <c r="I4" s="7">
        <v>1.0616733705446744</v>
      </c>
      <c r="J4" s="7">
        <v>0.17316118264216396</v>
      </c>
      <c r="K4" s="7">
        <v>0.53319409003139284</v>
      </c>
      <c r="L4" s="7">
        <v>0.18680479987941712</v>
      </c>
      <c r="M4" s="7">
        <v>0.10625252491540427</v>
      </c>
      <c r="N4" s="7">
        <v>0.30887361540997404</v>
      </c>
      <c r="O4" s="7"/>
      <c r="P4" s="11">
        <f t="shared" ca="1" si="0"/>
        <v>0.80520135557585126</v>
      </c>
      <c r="Q4" s="11"/>
      <c r="R4" s="7">
        <v>43.619883109187008</v>
      </c>
      <c r="S4" s="7">
        <v>44.050107998898234</v>
      </c>
      <c r="T4" s="7">
        <v>43.989758405363595</v>
      </c>
      <c r="U4" s="7">
        <v>43.751841542716456</v>
      </c>
      <c r="V4" s="7">
        <v>43.72680534289745</v>
      </c>
      <c r="W4" s="7">
        <v>43.834611118248588</v>
      </c>
      <c r="X4" s="7">
        <v>43.811166618592061</v>
      </c>
      <c r="Y4" s="7">
        <v>44.331552817741098</v>
      </c>
      <c r="Z4" s="7">
        <v>44.058637542176569</v>
      </c>
      <c r="AA4" s="7">
        <v>43.769525616981362</v>
      </c>
      <c r="AB4" s="11">
        <f t="shared" ca="1" si="1"/>
        <v>0.9301856987406818</v>
      </c>
      <c r="AC4" s="10">
        <f ca="1">AB4*($B$4+(10*$B$3))</f>
        <v>615.36251489964548</v>
      </c>
      <c r="AD4" s="5">
        <f t="shared" ca="1" si="2"/>
        <v>647.54802824075341</v>
      </c>
      <c r="AE4" s="8">
        <f ca="1">AD4/$B$4</f>
        <v>1.0093523785217657</v>
      </c>
      <c r="AG4" s="3"/>
      <c r="AH4" s="3"/>
      <c r="AI4" s="3"/>
      <c r="AJ4" s="3"/>
    </row>
    <row r="5" spans="1:36" ht="15" x14ac:dyDescent="0.25">
      <c r="B5" s="3"/>
      <c r="C5" s="3">
        <f t="shared" ca="1" si="3"/>
        <v>635.0890387325536</v>
      </c>
      <c r="D5" s="11">
        <f ca="1">C5/$B$4</f>
        <v>0.9899321808752003</v>
      </c>
      <c r="E5" s="7">
        <v>-0.1346257958117224</v>
      </c>
      <c r="F5" s="7">
        <v>-0.51055624369896291</v>
      </c>
      <c r="G5" s="7">
        <v>-0.14783081387774277</v>
      </c>
      <c r="H5" s="7">
        <v>-0.60537250276570365</v>
      </c>
      <c r="I5" s="7">
        <v>-2.4167422770785651E-2</v>
      </c>
      <c r="J5" s="7">
        <v>-0.39814745261478129</v>
      </c>
      <c r="K5" s="7">
        <v>-0.3371971342260151</v>
      </c>
      <c r="L5" s="7">
        <v>-0.18655176494795878</v>
      </c>
      <c r="M5" s="7">
        <v>-0.16453618911077805</v>
      </c>
      <c r="N5" s="7">
        <v>-0.60883009902742924</v>
      </c>
      <c r="O5" s="7"/>
      <c r="P5" s="11">
        <f t="shared" ca="1" si="0"/>
        <v>-0.73774843906004461</v>
      </c>
      <c r="Q5" s="11"/>
      <c r="R5" s="7">
        <v>44.921543507754535</v>
      </c>
      <c r="S5" s="7">
        <v>44.205460954418328</v>
      </c>
      <c r="T5" s="7">
        <v>44.923989797727899</v>
      </c>
      <c r="U5" s="7">
        <v>44.638785867575749</v>
      </c>
      <c r="V5" s="7">
        <v>44.529970310371496</v>
      </c>
      <c r="W5" s="7">
        <v>45.050834533055351</v>
      </c>
      <c r="X5" s="7">
        <v>44.904867124882742</v>
      </c>
      <c r="Y5" s="7">
        <v>45.002656454579395</v>
      </c>
      <c r="Z5" s="7">
        <v>44.580504688899836</v>
      </c>
      <c r="AA5" s="7">
        <v>44.559434190102749</v>
      </c>
      <c r="AB5" s="11">
        <f t="shared" ca="1" si="1"/>
        <v>0.93501172618070427</v>
      </c>
      <c r="AC5" s="10">
        <f ca="1">AB5*($B$4+(10*$B$3))</f>
        <v>618.55516383682811</v>
      </c>
      <c r="AD5" s="5">
        <f t="shared" ca="1" si="2"/>
        <v>649.54802824075341</v>
      </c>
      <c r="AE5" s="8">
        <f ca="1">AD5/$B$4</f>
        <v>1.0124698380290211</v>
      </c>
      <c r="AG5" s="3"/>
      <c r="AH5" s="3"/>
      <c r="AI5" s="3"/>
      <c r="AJ5" s="3"/>
    </row>
    <row r="6" spans="1:36" ht="15" x14ac:dyDescent="0.25">
      <c r="B6" s="3"/>
      <c r="C6" s="3">
        <f t="shared" ca="1" si="3"/>
        <v>635.74546675307772</v>
      </c>
      <c r="D6" s="11">
        <f ca="1">C6/$B$4</f>
        <v>0.99095537476190609</v>
      </c>
      <c r="E6" s="7">
        <v>-0.52666623987276107</v>
      </c>
      <c r="F6" s="7">
        <v>-0.22562724489231489</v>
      </c>
      <c r="G6" s="7">
        <v>-0.52136261430512332</v>
      </c>
      <c r="H6" s="7">
        <v>-0.80035088577281255</v>
      </c>
      <c r="I6" s="7">
        <v>-0.38246570266775359</v>
      </c>
      <c r="J6" s="7">
        <v>-7.6208437280332886E-2</v>
      </c>
      <c r="K6" s="7">
        <v>-0.22094321835231057</v>
      </c>
      <c r="L6" s="7">
        <v>-0.31472625496423867</v>
      </c>
      <c r="M6" s="7">
        <v>-7.6927571147314966E-2</v>
      </c>
      <c r="N6" s="7">
        <v>-4.7488368421112259E-2</v>
      </c>
      <c r="O6" s="7"/>
      <c r="P6" s="11">
        <f t="shared" ca="1" si="0"/>
        <v>-0.74173608395683677</v>
      </c>
      <c r="Q6" s="11"/>
      <c r="R6" s="7">
        <v>44.783079210082441</v>
      </c>
      <c r="S6" s="7">
        <v>44.809373961526752</v>
      </c>
      <c r="T6" s="7">
        <v>44.43967662275157</v>
      </c>
      <c r="U6" s="7">
        <v>44.325435999003481</v>
      </c>
      <c r="V6" s="7">
        <v>44.952692397103476</v>
      </c>
      <c r="W6" s="7">
        <v>44.748195624478385</v>
      </c>
      <c r="X6" s="7">
        <v>44.178835412449345</v>
      </c>
      <c r="Y6" s="7">
        <v>44.978671004121381</v>
      </c>
      <c r="Z6" s="7">
        <v>44.442367327406487</v>
      </c>
      <c r="AA6" s="7">
        <v>45.110772300571654</v>
      </c>
      <c r="AB6" s="11">
        <f t="shared" ca="1" si="1"/>
        <v>0.9316963975072895</v>
      </c>
      <c r="AC6" s="10">
        <f ca="1">AB6*($B$4+(10*$B$3))</f>
        <v>616.3619146899606</v>
      </c>
      <c r="AD6" s="5">
        <f t="shared" ca="1" si="2"/>
        <v>651.54802824075341</v>
      </c>
      <c r="AE6" s="8">
        <f ca="1">AD6/$B$4</f>
        <v>1.0155872975362763</v>
      </c>
      <c r="AG6" s="3"/>
      <c r="AH6" s="3"/>
      <c r="AI6" s="3"/>
      <c r="AJ6" s="3"/>
    </row>
    <row r="7" spans="1:36" ht="15" x14ac:dyDescent="0.25">
      <c r="B7" s="3"/>
      <c r="C7" s="3">
        <f t="shared" ca="1" si="3"/>
        <v>637.03315909114735</v>
      </c>
      <c r="D7" s="11">
        <f ca="1">C7/$B$4</f>
        <v>0.99296253912277355</v>
      </c>
      <c r="E7" s="7">
        <v>-3.6456599596093486E-2</v>
      </c>
      <c r="F7" s="7">
        <v>-0.41025812104417125</v>
      </c>
      <c r="G7" s="7">
        <v>0.10841286591350463</v>
      </c>
      <c r="H7" s="7">
        <v>-0.4395573874327186</v>
      </c>
      <c r="I7" s="7">
        <v>-0.2956513721823103</v>
      </c>
      <c r="J7" s="7">
        <v>-0.40336321814173359</v>
      </c>
      <c r="K7" s="7">
        <v>-0.63585766815740463</v>
      </c>
      <c r="L7" s="7">
        <v>-0.3295343103203684</v>
      </c>
      <c r="M7" s="7">
        <v>-0.47870182482522727</v>
      </c>
      <c r="N7" s="7">
        <v>-0.40039796172167696</v>
      </c>
      <c r="O7" s="7"/>
      <c r="P7" s="11">
        <f t="shared" ca="1" si="0"/>
        <v>-0.7500130482709787</v>
      </c>
      <c r="Q7" s="11"/>
      <c r="R7" s="7">
        <v>44.248859502114435</v>
      </c>
      <c r="S7" s="7">
        <v>44.718039227284422</v>
      </c>
      <c r="T7" s="7">
        <v>44.656913854941983</v>
      </c>
      <c r="U7" s="7">
        <v>44.253274899737256</v>
      </c>
      <c r="V7" s="7">
        <v>44.468848123729543</v>
      </c>
      <c r="W7" s="7">
        <v>43.944279615238031</v>
      </c>
      <c r="X7" s="7">
        <v>44.319546989842223</v>
      </c>
      <c r="Y7" s="7">
        <v>44.787022572148302</v>
      </c>
      <c r="Z7" s="7">
        <v>44.704543088306075</v>
      </c>
      <c r="AA7" s="7">
        <v>43.92628037115724</v>
      </c>
      <c r="AB7" s="11">
        <f t="shared" ca="1" si="1"/>
        <v>0.9301600987815396</v>
      </c>
      <c r="AC7" s="10">
        <f ca="1">AB7*($B$4+(10*$B$3))</f>
        <v>615.34557929715197</v>
      </c>
      <c r="AD7" s="5">
        <f t="shared" ca="1" si="2"/>
        <v>653.54802824075341</v>
      </c>
      <c r="AE7" s="8">
        <f ca="1">AD7/$B$4</f>
        <v>1.0187047570435315</v>
      </c>
      <c r="AG7" s="3"/>
      <c r="AH7" s="3"/>
      <c r="AI7" s="3"/>
      <c r="AJ7" s="3"/>
    </row>
    <row r="8" spans="1:36" ht="15" x14ac:dyDescent="0.25">
      <c r="B8" s="3"/>
      <c r="C8" s="3">
        <f t="shared" ca="1" si="3"/>
        <v>638.0665973506209</v>
      </c>
      <c r="D8" s="11">
        <f ca="1">C8/$B$4</f>
        <v>0.99457339008635215</v>
      </c>
      <c r="E8" s="7">
        <v>0.37777263277462397</v>
      </c>
      <c r="F8" s="7">
        <v>0.4995318004221605</v>
      </c>
      <c r="G8" s="7">
        <v>0.22110199651302087</v>
      </c>
      <c r="H8" s="7">
        <v>0.86762454199601113</v>
      </c>
      <c r="I8" s="7">
        <v>-9.8541690577994556E-3</v>
      </c>
      <c r="J8" s="7">
        <v>0.25701125156722104</v>
      </c>
      <c r="K8" s="7">
        <v>0.48708773259342908</v>
      </c>
      <c r="L8" s="7">
        <v>0.65808765516502277</v>
      </c>
      <c r="M8" s="7">
        <v>0.69732233578153568</v>
      </c>
      <c r="N8" s="7">
        <v>0.23541893624004284</v>
      </c>
      <c r="O8" s="7"/>
      <c r="P8" s="11">
        <f t="shared" ca="1" si="0"/>
        <v>0.79465574582406007</v>
      </c>
      <c r="Q8" s="11"/>
      <c r="R8" s="7">
        <v>44.216119472466154</v>
      </c>
      <c r="S8" s="7">
        <v>44.123606309075434</v>
      </c>
      <c r="T8" s="7">
        <v>44.156464291339013</v>
      </c>
      <c r="U8" s="7">
        <v>44.58433785492722</v>
      </c>
      <c r="V8" s="7">
        <v>44.851413161532854</v>
      </c>
      <c r="W8" s="7">
        <v>44.827162141143738</v>
      </c>
      <c r="X8" s="7">
        <v>44.345781269842043</v>
      </c>
      <c r="Y8" s="7">
        <v>44.602848066241513</v>
      </c>
      <c r="Z8" s="7">
        <v>44.224215397698778</v>
      </c>
      <c r="AA8" s="7">
        <v>44.778207731579307</v>
      </c>
      <c r="AB8" s="11">
        <f t="shared" ca="1" si="1"/>
        <v>0.92876463651483376</v>
      </c>
      <c r="AC8" s="10">
        <f ca="1">AB8*($B$4+(10*$B$3))</f>
        <v>614.42241398612828</v>
      </c>
      <c r="AD8" s="5">
        <f t="shared" ca="1" si="2"/>
        <v>655.54802824075341</v>
      </c>
      <c r="AE8" s="8">
        <f ca="1">AD8/$B$4</f>
        <v>1.0218222165507869</v>
      </c>
      <c r="AG8" s="3"/>
      <c r="AH8" s="3"/>
      <c r="AI8" s="3"/>
      <c r="AJ8" s="3"/>
    </row>
    <row r="9" spans="1:36" ht="15" x14ac:dyDescent="0.25">
      <c r="B9" s="3"/>
      <c r="C9" s="3">
        <f t="shared" ca="1" si="3"/>
        <v>638.36036960695105</v>
      </c>
      <c r="D9" s="11">
        <f ca="1">C9/$B$4</f>
        <v>0.99503130164308429</v>
      </c>
      <c r="E9" s="7">
        <v>0.10362067513571849</v>
      </c>
      <c r="F9" s="7">
        <v>0.72064877034834851</v>
      </c>
      <c r="G9" s="7">
        <v>0.66175847413662636</v>
      </c>
      <c r="H9" s="7">
        <v>8.6242833904905503E-2</v>
      </c>
      <c r="I9" s="7">
        <v>0.27399748903040888</v>
      </c>
      <c r="J9" s="7">
        <v>0.82372674707516602</v>
      </c>
      <c r="K9" s="7">
        <v>0.76005231314912758</v>
      </c>
      <c r="L9" s="7">
        <v>0.71707078571323912</v>
      </c>
      <c r="M9" s="7">
        <v>6.001729434183467E-2</v>
      </c>
      <c r="N9" s="7">
        <v>4.7057903501948273E-2</v>
      </c>
      <c r="O9" s="7"/>
      <c r="P9" s="11">
        <f t="shared" ca="1" si="0"/>
        <v>0.79312165567150505</v>
      </c>
      <c r="Q9" s="11"/>
      <c r="R9" s="7">
        <v>44.086159212542753</v>
      </c>
      <c r="S9" s="7">
        <v>44.304863291681464</v>
      </c>
      <c r="T9" s="7">
        <v>44.697454762640753</v>
      </c>
      <c r="U9" s="7">
        <v>44.627572473704781</v>
      </c>
      <c r="V9" s="7">
        <v>44.560961197426423</v>
      </c>
      <c r="W9" s="7">
        <v>44.369564854497789</v>
      </c>
      <c r="X9" s="7">
        <v>44.09514525657098</v>
      </c>
      <c r="Y9" s="7">
        <v>44.652480958185244</v>
      </c>
      <c r="Z9" s="7">
        <v>44.403436636561295</v>
      </c>
      <c r="AA9" s="7">
        <v>44.022083959864368</v>
      </c>
      <c r="AB9" s="11">
        <f t="shared" ca="1" si="1"/>
        <v>0.92803238757089279</v>
      </c>
      <c r="AC9" s="10">
        <f ca="1">AB9*($B$4+(10*$B$3))</f>
        <v>613.93799614108275</v>
      </c>
      <c r="AD9" s="5">
        <f t="shared" ca="1" si="2"/>
        <v>657.54802824075341</v>
      </c>
      <c r="AE9" s="8">
        <f ca="1">AD9/$B$4</f>
        <v>1.024939676058042</v>
      </c>
      <c r="AG9" s="3"/>
      <c r="AH9" s="3"/>
      <c r="AI9" s="3"/>
    </row>
    <row r="10" spans="1:36" ht="15" x14ac:dyDescent="0.25">
      <c r="B10" s="3"/>
      <c r="C10" s="3">
        <f t="shared" ca="1" si="3"/>
        <v>639.65341147648439</v>
      </c>
      <c r="D10" s="11">
        <f ca="1">C10/$B$4</f>
        <v>0.99704680447781213</v>
      </c>
      <c r="E10" s="7">
        <v>-0.3243348251632876</v>
      </c>
      <c r="F10" s="7">
        <v>-0.65862371116940699</v>
      </c>
      <c r="G10" s="7">
        <v>-0.516543679469054</v>
      </c>
      <c r="H10" s="7">
        <v>-0.28583651699284163</v>
      </c>
      <c r="I10" s="7">
        <v>-0.15389495572344136</v>
      </c>
      <c r="J10" s="7">
        <v>-0.64429215231527814</v>
      </c>
      <c r="K10" s="7">
        <v>-0.5155741157983601</v>
      </c>
      <c r="L10" s="7">
        <v>-2.6713534731112598E-2</v>
      </c>
      <c r="M10" s="7">
        <v>-0.34440451507958408</v>
      </c>
      <c r="N10" s="7">
        <v>2.5491224112010546E-2</v>
      </c>
      <c r="O10" s="7"/>
      <c r="P10" s="11">
        <f t="shared" ca="1" si="0"/>
        <v>-0.75615323485584351</v>
      </c>
      <c r="Q10" s="11"/>
      <c r="R10" s="7">
        <v>44.744325638003758</v>
      </c>
      <c r="S10" s="7">
        <v>45.45122805455847</v>
      </c>
      <c r="T10" s="7">
        <v>44.866225961282616</v>
      </c>
      <c r="U10" s="7">
        <v>44.76072906483455</v>
      </c>
      <c r="V10" s="7">
        <v>44.723162148439599</v>
      </c>
      <c r="W10" s="7">
        <v>44.743140721815166</v>
      </c>
      <c r="X10" s="7">
        <v>45.382079834942822</v>
      </c>
      <c r="Y10" s="7">
        <v>45.543451314057464</v>
      </c>
      <c r="Z10" s="7">
        <v>45.467461194943937</v>
      </c>
      <c r="AA10" s="7">
        <v>45.253427514144782</v>
      </c>
      <c r="AB10" s="11">
        <f t="shared" ca="1" si="1"/>
        <v>0.93364704268269827</v>
      </c>
      <c r="AC10" s="10">
        <f ca="1">AB10*($B$4+(10*$B$3))</f>
        <v>617.65236015954963</v>
      </c>
      <c r="AD10" s="5">
        <f t="shared" ca="1" si="2"/>
        <v>659.54802824075341</v>
      </c>
      <c r="AE10" s="8">
        <f ca="1">AD10/$B$4</f>
        <v>1.0280571355652972</v>
      </c>
      <c r="AG10" s="3"/>
      <c r="AH10" s="3"/>
      <c r="AI10" s="3"/>
    </row>
    <row r="11" spans="1:36" ht="15" x14ac:dyDescent="0.25">
      <c r="B11" s="3"/>
      <c r="C11" s="3">
        <f t="shared" ca="1" si="3"/>
        <v>641.54802824075341</v>
      </c>
      <c r="D11" s="11">
        <f ca="1">C11/$B$4</f>
        <v>1</v>
      </c>
      <c r="E11" s="7">
        <v>0.19675249086332591</v>
      </c>
      <c r="F11" s="7">
        <v>1.0302428076952488</v>
      </c>
      <c r="G11" s="7">
        <v>0.26402405305724075</v>
      </c>
      <c r="H11" s="7">
        <v>0.45033204335035193</v>
      </c>
      <c r="I11" s="7">
        <v>0.56969949827506294</v>
      </c>
      <c r="J11" s="7">
        <v>0.31423906521854578</v>
      </c>
      <c r="K11" s="7">
        <v>0.50334682828188093</v>
      </c>
      <c r="L11" s="7">
        <v>0.1157058982244451</v>
      </c>
      <c r="M11" s="7">
        <v>0.43080571783071292</v>
      </c>
      <c r="N11" s="7">
        <v>0.27352566118515698</v>
      </c>
      <c r="O11" s="7"/>
      <c r="P11" s="11">
        <f t="shared" ca="1" si="0"/>
        <v>0.78893471676421523</v>
      </c>
      <c r="Q11" s="11"/>
      <c r="R11" s="7">
        <v>46.248157500515873</v>
      </c>
      <c r="S11" s="7">
        <v>45.389879279396851</v>
      </c>
      <c r="T11" s="7">
        <v>45.730133739870212</v>
      </c>
      <c r="U11" s="7">
        <v>45.434355450423269</v>
      </c>
      <c r="V11" s="7">
        <v>45.373430039783031</v>
      </c>
      <c r="W11" s="7">
        <v>45.532449866060944</v>
      </c>
      <c r="X11" s="7">
        <v>45.553923805385111</v>
      </c>
      <c r="Y11" s="7">
        <v>46.204775702239388</v>
      </c>
      <c r="Z11" s="7">
        <v>46.302620330785516</v>
      </c>
      <c r="AA11" s="7">
        <v>45.691725384939076</v>
      </c>
      <c r="AB11" s="11">
        <f t="shared" ca="1" si="1"/>
        <v>0.93655498188219655</v>
      </c>
      <c r="AC11" s="10">
        <f ca="1">AB11*($B$4+(10*$B$3))</f>
        <v>619.57610160322167</v>
      </c>
      <c r="AD11" s="5">
        <f t="shared" ca="1" si="2"/>
        <v>661.54802824075341</v>
      </c>
      <c r="AE11" s="8">
        <f ca="1">AD11/$B$4</f>
        <v>1.0311745950725526</v>
      </c>
      <c r="AG11" s="3"/>
      <c r="AH11" s="3"/>
      <c r="AI11" s="3"/>
    </row>
    <row r="12" spans="1:36" ht="15" x14ac:dyDescent="0.25">
      <c r="B12" s="3"/>
      <c r="C12" s="3"/>
      <c r="D12" s="11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11"/>
      <c r="Q12" s="11"/>
      <c r="R12" s="7"/>
      <c r="S12" s="7"/>
      <c r="T12" s="7"/>
      <c r="U12" s="7"/>
      <c r="V12" s="7"/>
      <c r="W12" s="7"/>
      <c r="X12" s="7"/>
      <c r="Y12" s="7"/>
      <c r="Z12" s="7"/>
      <c r="AA12" s="7"/>
      <c r="AB12" s="11"/>
      <c r="AC12" s="10"/>
      <c r="AD12" s="5"/>
      <c r="AE12" s="8"/>
      <c r="AG12" s="3"/>
      <c r="AH12" s="3"/>
      <c r="AI12" s="3"/>
    </row>
    <row r="13" spans="1:36" x14ac:dyDescent="0.25">
      <c r="C13" s="3"/>
      <c r="D13" s="8"/>
      <c r="E13" s="7"/>
      <c r="F13" s="7"/>
      <c r="G13" s="7"/>
      <c r="H13" s="7"/>
      <c r="I13" s="7"/>
      <c r="J13" s="7"/>
      <c r="K13" s="7"/>
      <c r="L13" s="7"/>
      <c r="M13" s="7"/>
      <c r="N13" s="7"/>
      <c r="P13" s="8" t="s">
        <v>34</v>
      </c>
      <c r="Q13" s="8" t="s">
        <v>35</v>
      </c>
      <c r="R13" s="7"/>
      <c r="S13" s="7"/>
      <c r="T13" s="7"/>
      <c r="U13" s="7"/>
      <c r="V13" s="7"/>
      <c r="W13" s="7"/>
      <c r="X13" s="7"/>
      <c r="Y13" s="7"/>
      <c r="Z13" s="7"/>
      <c r="AA13" s="7"/>
      <c r="AB13" s="12" t="s">
        <v>34</v>
      </c>
      <c r="AF13" s="9"/>
      <c r="AG13" s="3"/>
      <c r="AH13" s="3"/>
      <c r="AI13" s="3"/>
    </row>
    <row r="14" spans="1:36" x14ac:dyDescent="0.25">
      <c r="B14" s="3"/>
      <c r="C14" s="3"/>
      <c r="D14" s="8"/>
      <c r="E14" s="7">
        <f t="shared" ref="E14:N14" ca="1" si="4">E2+$P14</f>
        <v>-0.64790339245567008</v>
      </c>
      <c r="F14" s="7">
        <f t="shared" ca="1" si="4"/>
        <v>-0.22441967411113817</v>
      </c>
      <c r="G14" s="7">
        <f t="shared" ca="1" si="4"/>
        <v>-0.73048231081333137</v>
      </c>
      <c r="H14" s="7">
        <f t="shared" ca="1" si="4"/>
        <v>-0.19820256975688011</v>
      </c>
      <c r="I14" s="7">
        <f t="shared" ca="1" si="4"/>
        <v>-0.2811936350689741</v>
      </c>
      <c r="J14" s="7">
        <f t="shared" ca="1" si="4"/>
        <v>-0.32739347637073918</v>
      </c>
      <c r="K14" s="7">
        <f t="shared" ca="1" si="4"/>
        <v>-0.13706032259779199</v>
      </c>
      <c r="L14" s="7">
        <f t="shared" ca="1" si="4"/>
        <v>-0.32639257080190559</v>
      </c>
      <c r="M14" s="7">
        <f t="shared" ca="1" si="4"/>
        <v>-3.1070376475406336E-2</v>
      </c>
      <c r="N14" s="7">
        <f ca="1">N2+$P14</f>
        <v>-0.19005199116975868</v>
      </c>
      <c r="P14" s="11">
        <f ca="1">Q14-P2</f>
        <v>-0.78291214837865708</v>
      </c>
      <c r="Q14" s="8">
        <f ca="1">softsignder(SUM($AB14*R14,$AB14*S14,$AB14*T14,$AB14*U14,$AB14*V14,$AB14*W14,$AB14*X14,$AB14*Y14,$AB14*Z14,$AB14*AA14))</f>
        <v>2.7527900161172552E-2</v>
      </c>
      <c r="R14" s="7">
        <f t="shared" ref="R14:AA14" ca="1" si="5">R2+$AB14</f>
        <v>43.528752665478194</v>
      </c>
      <c r="S14" s="7">
        <f t="shared" ca="1" si="5"/>
        <v>43.764477655824663</v>
      </c>
      <c r="T14" s="7">
        <f t="shared" ca="1" si="5"/>
        <v>43.402680821169142</v>
      </c>
      <c r="U14" s="7">
        <f t="shared" ca="1" si="5"/>
        <v>43.531809204565917</v>
      </c>
      <c r="V14" s="7">
        <f t="shared" ca="1" si="5"/>
        <v>43.471425381077921</v>
      </c>
      <c r="W14" s="7">
        <f t="shared" ca="1" si="5"/>
        <v>43.886067163164597</v>
      </c>
      <c r="X14" s="7">
        <f t="shared" ca="1" si="5"/>
        <v>43.096367557093785</v>
      </c>
      <c r="Y14" s="7">
        <f t="shared" ca="1" si="5"/>
        <v>43.190687177034064</v>
      </c>
      <c r="Z14" s="7">
        <f t="shared" ca="1" si="5"/>
        <v>44.025095766227992</v>
      </c>
      <c r="AA14" s="7">
        <f ca="1">AA2+$AB14</f>
        <v>43.593679122721838</v>
      </c>
      <c r="AB14" s="8">
        <f ca="1">AE2-AB2</f>
        <v>8.1119420221014482E-2</v>
      </c>
      <c r="AC14" s="20"/>
      <c r="AF14" s="3"/>
      <c r="AG14" s="3"/>
      <c r="AH14" s="3"/>
      <c r="AI14" s="3"/>
    </row>
    <row r="15" spans="1:36" x14ac:dyDescent="0.25">
      <c r="B15" s="3"/>
      <c r="C15" s="3"/>
      <c r="D15" s="8"/>
      <c r="E15" s="7">
        <f t="shared" ref="E15:N15" ca="1" si="6">E3+$P15</f>
        <v>0.15005724732406711</v>
      </c>
      <c r="F15" s="7">
        <f t="shared" ca="1" si="6"/>
        <v>0.65318180758123257</v>
      </c>
      <c r="G15" s="7">
        <f t="shared" ca="1" si="6"/>
        <v>0.57954240894379017</v>
      </c>
      <c r="H15" s="7">
        <f t="shared" ca="1" si="6"/>
        <v>0.49337027340752637</v>
      </c>
      <c r="I15" s="7">
        <f t="shared" ca="1" si="6"/>
        <v>0.83927583282964435</v>
      </c>
      <c r="J15" s="7">
        <f t="shared" ca="1" si="6"/>
        <v>0.40789744119471716</v>
      </c>
      <c r="K15" s="7">
        <f t="shared" ca="1" si="6"/>
        <v>0.81817082857801027</v>
      </c>
      <c r="L15" s="7">
        <f t="shared" ca="1" si="6"/>
        <v>0.15966011044406181</v>
      </c>
      <c r="M15" s="7">
        <f t="shared" ca="1" si="6"/>
        <v>0.46763342901172733</v>
      </c>
      <c r="N15" s="7">
        <f t="shared" ca="1" si="6"/>
        <v>0.15445216007378293</v>
      </c>
      <c r="P15" s="11">
        <f t="shared" ref="P15:P23" ca="1" si="7">Q15-P3</f>
        <v>0.70213915899017743</v>
      </c>
      <c r="Q15" s="8">
        <f t="shared" ref="Q15:Q23" ca="1" si="8">softsignder(SUM($AB15*R15,$AB15*S15,$AB15*T15,$AB15*U15,$AB15*V15,$AB15*W15,$AB15*X15,$AB15*Y15,$AB15*Z15,$AB15*AA15))</f>
        <v>2.7475124238995893E-2</v>
      </c>
      <c r="R15" s="7">
        <f t="shared" ref="R15:AA15" ca="1" si="9">R3+$AB15</f>
        <v>43.599718906082629</v>
      </c>
      <c r="S15" s="7">
        <f t="shared" ca="1" si="9"/>
        <v>44.195170739602034</v>
      </c>
      <c r="T15" s="7">
        <f t="shared" ca="1" si="9"/>
        <v>43.465846645892498</v>
      </c>
      <c r="U15" s="7">
        <f t="shared" ca="1" si="9"/>
        <v>43.560313999743258</v>
      </c>
      <c r="V15" s="7">
        <f t="shared" ca="1" si="9"/>
        <v>44.123536674562047</v>
      </c>
      <c r="W15" s="7">
        <f t="shared" ca="1" si="9"/>
        <v>43.456445818045765</v>
      </c>
      <c r="X15" s="7">
        <f t="shared" ca="1" si="9"/>
        <v>43.586701789413326</v>
      </c>
      <c r="Y15" s="7">
        <f t="shared" ca="1" si="9"/>
        <v>43.595569797193804</v>
      </c>
      <c r="Z15" s="7">
        <f t="shared" ca="1" si="9"/>
        <v>43.633323733552245</v>
      </c>
      <c r="AA15" s="7">
        <f t="shared" ca="1" si="9"/>
        <v>43.542497566070054</v>
      </c>
      <c r="AB15" s="8">
        <f ca="1">AE3-AB3</f>
        <v>8.1043663504847818E-2</v>
      </c>
      <c r="AC15" s="20"/>
      <c r="AF15" s="3"/>
      <c r="AG15" s="3"/>
      <c r="AH15" s="3"/>
      <c r="AI15" s="3"/>
    </row>
    <row r="16" spans="1:36" x14ac:dyDescent="0.25">
      <c r="B16" s="3"/>
      <c r="C16" s="3"/>
      <c r="D16" s="8"/>
      <c r="E16" s="7">
        <f t="shared" ref="E16:N16" ca="1" si="10">E4+$P16</f>
        <v>-0.61880243130730495</v>
      </c>
      <c r="F16" s="7">
        <f t="shared" ca="1" si="10"/>
        <v>5.0985576537449617E-2</v>
      </c>
      <c r="G16" s="7">
        <f t="shared" ca="1" si="10"/>
        <v>0.27814805932073072</v>
      </c>
      <c r="H16" s="7">
        <f t="shared" ca="1" si="10"/>
        <v>-0.59823732328960755</v>
      </c>
      <c r="I16" s="7">
        <f t="shared" ca="1" si="10"/>
        <v>0.28439530089469967</v>
      </c>
      <c r="J16" s="7">
        <f t="shared" ca="1" si="10"/>
        <v>-0.60411688700781074</v>
      </c>
      <c r="K16" s="7">
        <f t="shared" ca="1" si="10"/>
        <v>-0.24408397961858186</v>
      </c>
      <c r="L16" s="7">
        <f t="shared" ca="1" si="10"/>
        <v>-0.59047326977055759</v>
      </c>
      <c r="M16" s="7">
        <f t="shared" ca="1" si="10"/>
        <v>-0.67102554473457043</v>
      </c>
      <c r="N16" s="7">
        <f t="shared" ca="1" si="10"/>
        <v>-0.46840445424000066</v>
      </c>
      <c r="P16" s="11">
        <f t="shared" ca="1" si="7"/>
        <v>-0.7772780696499747</v>
      </c>
      <c r="Q16" s="8">
        <f t="shared" ca="1" si="8"/>
        <v>2.792328592587659E-2</v>
      </c>
      <c r="R16" s="7">
        <f t="shared" ref="R16:AA16" ca="1" si="11">R4+$AB16</f>
        <v>43.69904978896809</v>
      </c>
      <c r="S16" s="7">
        <f t="shared" ca="1" si="11"/>
        <v>44.129274678679316</v>
      </c>
      <c r="T16" s="7">
        <f t="shared" ca="1" si="11"/>
        <v>44.068925085144677</v>
      </c>
      <c r="U16" s="7">
        <f t="shared" ca="1" si="11"/>
        <v>43.831008222497537</v>
      </c>
      <c r="V16" s="7">
        <f t="shared" ca="1" si="11"/>
        <v>43.805972022678532</v>
      </c>
      <c r="W16" s="7">
        <f t="shared" ca="1" si="11"/>
        <v>43.91377779802967</v>
      </c>
      <c r="X16" s="7">
        <f t="shared" ca="1" si="11"/>
        <v>43.890333298373143</v>
      </c>
      <c r="Y16" s="7">
        <f t="shared" ca="1" si="11"/>
        <v>44.41071949752218</v>
      </c>
      <c r="Z16" s="7">
        <f t="shared" ca="1" si="11"/>
        <v>44.137804221957651</v>
      </c>
      <c r="AA16" s="7">
        <f t="shared" ca="1" si="11"/>
        <v>43.848692296762444</v>
      </c>
      <c r="AB16" s="8">
        <f ca="1">AE4-AB4</f>
        <v>7.9166679781083937E-2</v>
      </c>
      <c r="AC16" s="20"/>
      <c r="AF16" s="3"/>
      <c r="AG16" s="3"/>
      <c r="AH16" s="3"/>
      <c r="AI16" s="3"/>
    </row>
    <row r="17" spans="1:36" x14ac:dyDescent="0.25">
      <c r="B17" s="3"/>
      <c r="C17" s="3"/>
      <c r="D17" s="8"/>
      <c r="E17" s="7">
        <f t="shared" ref="E17:N17" ca="1" si="12">E5+$P17</f>
        <v>0.63112725131884062</v>
      </c>
      <c r="F17" s="7">
        <f t="shared" ca="1" si="12"/>
        <v>0.25519680343160012</v>
      </c>
      <c r="G17" s="7">
        <f t="shared" ca="1" si="12"/>
        <v>0.61792223325282025</v>
      </c>
      <c r="H17" s="7">
        <f t="shared" ca="1" si="12"/>
        <v>0.16038054436485938</v>
      </c>
      <c r="I17" s="7">
        <f t="shared" ca="1" si="12"/>
        <v>0.74158562435977737</v>
      </c>
      <c r="J17" s="7">
        <f t="shared" ca="1" si="12"/>
        <v>0.36760559451578173</v>
      </c>
      <c r="K17" s="7">
        <f t="shared" ca="1" si="12"/>
        <v>0.42855591290454792</v>
      </c>
      <c r="L17" s="7">
        <f t="shared" ca="1" si="12"/>
        <v>0.57920128218260425</v>
      </c>
      <c r="M17" s="7">
        <f t="shared" ca="1" si="12"/>
        <v>0.60121685801978497</v>
      </c>
      <c r="N17" s="7">
        <f t="shared" ca="1" si="12"/>
        <v>0.15692294810313379</v>
      </c>
      <c r="P17" s="11">
        <f t="shared" ca="1" si="7"/>
        <v>0.76575304713056302</v>
      </c>
      <c r="Q17" s="8">
        <f t="shared" ca="1" si="8"/>
        <v>2.8004608070518411E-2</v>
      </c>
      <c r="R17" s="7">
        <f t="shared" ref="R17:AA17" ca="1" si="13">R5+$AB17</f>
        <v>44.999001619602851</v>
      </c>
      <c r="S17" s="7">
        <f t="shared" ca="1" si="13"/>
        <v>44.282919066266643</v>
      </c>
      <c r="T17" s="7">
        <f t="shared" ca="1" si="13"/>
        <v>45.001447909576214</v>
      </c>
      <c r="U17" s="7">
        <f t="shared" ca="1" si="13"/>
        <v>44.716243979424064</v>
      </c>
      <c r="V17" s="7">
        <f t="shared" ca="1" si="13"/>
        <v>44.607428422219812</v>
      </c>
      <c r="W17" s="7">
        <f t="shared" ca="1" si="13"/>
        <v>45.128292644903667</v>
      </c>
      <c r="X17" s="7">
        <f t="shared" ca="1" si="13"/>
        <v>44.982325236731057</v>
      </c>
      <c r="Y17" s="7">
        <f t="shared" ca="1" si="13"/>
        <v>45.08011456642771</v>
      </c>
      <c r="Z17" s="7">
        <f t="shared" ca="1" si="13"/>
        <v>44.657962800748152</v>
      </c>
      <c r="AA17" s="7">
        <f t="shared" ca="1" si="13"/>
        <v>44.636892301951065</v>
      </c>
      <c r="AB17" s="8">
        <f ca="1">AE5-AB5</f>
        <v>7.7458111848316857E-2</v>
      </c>
      <c r="AC17" s="20"/>
      <c r="AF17" s="3"/>
      <c r="AG17" s="3"/>
      <c r="AH17" s="3"/>
      <c r="AI17" s="3"/>
    </row>
    <row r="18" spans="1:36" x14ac:dyDescent="0.25">
      <c r="B18" s="3"/>
      <c r="C18" s="3"/>
      <c r="D18" s="8"/>
      <c r="E18" s="7">
        <f t="shared" ref="E18:N18" ca="1" si="14">E6+$P18</f>
        <v>0.2410100206049075</v>
      </c>
      <c r="F18" s="7">
        <f t="shared" ca="1" si="14"/>
        <v>0.54204901558535368</v>
      </c>
      <c r="G18" s="7">
        <f t="shared" ca="1" si="14"/>
        <v>0.24631364617254525</v>
      </c>
      <c r="H18" s="7">
        <f t="shared" ca="1" si="14"/>
        <v>-3.2674625295143978E-2</v>
      </c>
      <c r="I18" s="7">
        <f t="shared" ca="1" si="14"/>
        <v>0.38521055780991498</v>
      </c>
      <c r="J18" s="7">
        <f t="shared" ca="1" si="14"/>
        <v>0.69146782319733568</v>
      </c>
      <c r="K18" s="7">
        <f t="shared" ca="1" si="14"/>
        <v>0.546733042125358</v>
      </c>
      <c r="L18" s="7">
        <f t="shared" ca="1" si="14"/>
        <v>0.4529500055134299</v>
      </c>
      <c r="M18" s="7">
        <f t="shared" ca="1" si="14"/>
        <v>0.6907486893303536</v>
      </c>
      <c r="N18" s="7">
        <f t="shared" ca="1" si="14"/>
        <v>0.72018789205655631</v>
      </c>
      <c r="P18" s="11">
        <f t="shared" ca="1" si="7"/>
        <v>0.76767626047766857</v>
      </c>
      <c r="Q18" s="8">
        <f t="shared" ca="1" si="8"/>
        <v>2.5940176520831831E-2</v>
      </c>
      <c r="R18" s="7">
        <f t="shared" ref="R18:AA18" ca="1" si="15">R6+$AB18</f>
        <v>44.866970110111431</v>
      </c>
      <c r="S18" s="7">
        <f t="shared" ca="1" si="15"/>
        <v>44.893264861555743</v>
      </c>
      <c r="T18" s="7">
        <f t="shared" ca="1" si="15"/>
        <v>44.52356752278056</v>
      </c>
      <c r="U18" s="7">
        <f t="shared" ca="1" si="15"/>
        <v>44.409326899032472</v>
      </c>
      <c r="V18" s="7">
        <f t="shared" ca="1" si="15"/>
        <v>45.036583297132466</v>
      </c>
      <c r="W18" s="7">
        <f t="shared" ca="1" si="15"/>
        <v>44.832086524507375</v>
      </c>
      <c r="X18" s="7">
        <f t="shared" ca="1" si="15"/>
        <v>44.262726312478335</v>
      </c>
      <c r="Y18" s="7">
        <f t="shared" ca="1" si="15"/>
        <v>45.062561904150371</v>
      </c>
      <c r="Z18" s="7">
        <f t="shared" ca="1" si="15"/>
        <v>44.526258227435477</v>
      </c>
      <c r="AA18" s="7">
        <f t="shared" ca="1" si="15"/>
        <v>45.194663200600644</v>
      </c>
      <c r="AB18" s="8">
        <f ca="1">AE6-AB6</f>
        <v>8.3890900028986803E-2</v>
      </c>
      <c r="AC18" s="20"/>
      <c r="AF18" s="3"/>
      <c r="AG18" s="3"/>
      <c r="AH18" s="3"/>
      <c r="AI18" s="3"/>
    </row>
    <row r="19" spans="1:36" x14ac:dyDescent="0.25">
      <c r="B19" s="3"/>
      <c r="C19" s="3"/>
      <c r="D19" s="8"/>
      <c r="E19" s="7">
        <f t="shared" ref="E19:N19" ca="1" si="16">E7+$P19</f>
        <v>0.73831218720917791</v>
      </c>
      <c r="F19" s="7">
        <f t="shared" ca="1" si="16"/>
        <v>0.36451066576110014</v>
      </c>
      <c r="G19" s="7">
        <f t="shared" ca="1" si="16"/>
        <v>0.88318165271877602</v>
      </c>
      <c r="H19" s="7">
        <f t="shared" ca="1" si="16"/>
        <v>0.33521139937255279</v>
      </c>
      <c r="I19" s="7">
        <f t="shared" ca="1" si="16"/>
        <v>0.47911741462296109</v>
      </c>
      <c r="J19" s="7">
        <f t="shared" ca="1" si="16"/>
        <v>0.3714055686635378</v>
      </c>
      <c r="K19" s="7">
        <f t="shared" ca="1" si="16"/>
        <v>0.13891111864786676</v>
      </c>
      <c r="L19" s="7">
        <f t="shared" ca="1" si="16"/>
        <v>0.445234476484903</v>
      </c>
      <c r="M19" s="7">
        <f t="shared" ca="1" si="16"/>
        <v>0.29606696198004412</v>
      </c>
      <c r="N19" s="7">
        <f t="shared" ca="1" si="16"/>
        <v>0.37437082508359443</v>
      </c>
      <c r="P19" s="11">
        <f t="shared" ca="1" si="7"/>
        <v>0.77476878680527139</v>
      </c>
      <c r="Q19" s="8">
        <f t="shared" ca="1" si="8"/>
        <v>2.475573853429271E-2</v>
      </c>
      <c r="R19" s="7">
        <f t="shared" ref="R19:AA19" ca="1" si="17">R7+$AB19</f>
        <v>44.33740416037643</v>
      </c>
      <c r="S19" s="7">
        <f t="shared" ca="1" si="17"/>
        <v>44.806583885546416</v>
      </c>
      <c r="T19" s="7">
        <f t="shared" ca="1" si="17"/>
        <v>44.745458513203978</v>
      </c>
      <c r="U19" s="7">
        <f t="shared" ca="1" si="17"/>
        <v>44.341819557999251</v>
      </c>
      <c r="V19" s="7">
        <f t="shared" ca="1" si="17"/>
        <v>44.557392781991538</v>
      </c>
      <c r="W19" s="7">
        <f t="shared" ca="1" si="17"/>
        <v>44.032824273500026</v>
      </c>
      <c r="X19" s="7">
        <f t="shared" ca="1" si="17"/>
        <v>44.408091648104218</v>
      </c>
      <c r="Y19" s="7">
        <f t="shared" ca="1" si="17"/>
        <v>44.875567230410297</v>
      </c>
      <c r="Z19" s="7">
        <f t="shared" ca="1" si="17"/>
        <v>44.793087746568069</v>
      </c>
      <c r="AA19" s="7">
        <f t="shared" ca="1" si="17"/>
        <v>44.014825029419235</v>
      </c>
      <c r="AB19" s="8">
        <f ca="1">AE7-AB7</f>
        <v>8.8544658261991871E-2</v>
      </c>
      <c r="AC19" s="20"/>
      <c r="AF19" s="3"/>
      <c r="AG19" s="3"/>
      <c r="AH19" s="3"/>
      <c r="AI19" s="3"/>
    </row>
    <row r="20" spans="1:36" x14ac:dyDescent="0.25">
      <c r="B20" s="3"/>
      <c r="C20" s="3"/>
      <c r="D20" s="8"/>
      <c r="E20" s="7">
        <f t="shared" ref="E20:N20" ca="1" si="18">E8+$P20</f>
        <v>-0.39333721812696815</v>
      </c>
      <c r="F20" s="7">
        <f t="shared" ca="1" si="18"/>
        <v>-0.27157805047943162</v>
      </c>
      <c r="G20" s="7">
        <f t="shared" ca="1" si="18"/>
        <v>-0.55000785438857125</v>
      </c>
      <c r="H20" s="7">
        <f t="shared" ca="1" si="18"/>
        <v>9.6514691094419014E-2</v>
      </c>
      <c r="I20" s="7">
        <f t="shared" ca="1" si="18"/>
        <v>-0.78096401995939158</v>
      </c>
      <c r="J20" s="7">
        <f t="shared" ca="1" si="18"/>
        <v>-0.51409859933437108</v>
      </c>
      <c r="K20" s="7">
        <f t="shared" ca="1" si="18"/>
        <v>-0.28402211830816304</v>
      </c>
      <c r="L20" s="7">
        <f t="shared" ca="1" si="18"/>
        <v>-0.11302219573656935</v>
      </c>
      <c r="M20" s="7">
        <f t="shared" ca="1" si="18"/>
        <v>-7.3787515120056435E-2</v>
      </c>
      <c r="N20" s="7">
        <f t="shared" ca="1" si="18"/>
        <v>-0.53569091466154928</v>
      </c>
      <c r="P20" s="11">
        <f t="shared" ca="1" si="7"/>
        <v>-0.77110985090159212</v>
      </c>
      <c r="Q20" s="8">
        <f t="shared" ca="1" si="8"/>
        <v>2.3545894922467989E-2</v>
      </c>
      <c r="R20" s="7">
        <f t="shared" ref="R20:AA20" ca="1" si="19">R8+$AB20</f>
        <v>44.309177052502108</v>
      </c>
      <c r="S20" s="7">
        <f t="shared" ca="1" si="19"/>
        <v>44.216663889111388</v>
      </c>
      <c r="T20" s="7">
        <f t="shared" ca="1" si="19"/>
        <v>44.249521871374967</v>
      </c>
      <c r="U20" s="7">
        <f t="shared" ca="1" si="19"/>
        <v>44.677395434963174</v>
      </c>
      <c r="V20" s="7">
        <f t="shared" ca="1" si="19"/>
        <v>44.944470741568807</v>
      </c>
      <c r="W20" s="7">
        <f t="shared" ca="1" si="19"/>
        <v>44.920219721179691</v>
      </c>
      <c r="X20" s="7">
        <f t="shared" ca="1" si="19"/>
        <v>44.438838849877996</v>
      </c>
      <c r="Y20" s="7">
        <f t="shared" ca="1" si="19"/>
        <v>44.695905646277467</v>
      </c>
      <c r="Z20" s="7">
        <f t="shared" ca="1" si="19"/>
        <v>44.317272977734731</v>
      </c>
      <c r="AA20" s="7">
        <f t="shared" ca="1" si="19"/>
        <v>44.871265311615261</v>
      </c>
      <c r="AB20" s="8">
        <f ca="1">AE8-AB8</f>
        <v>9.3057580035953102E-2</v>
      </c>
      <c r="AC20" s="20"/>
      <c r="AF20" s="3"/>
      <c r="AG20" s="3"/>
      <c r="AH20" s="3"/>
      <c r="AI20" s="3"/>
    </row>
    <row r="21" spans="1:36" x14ac:dyDescent="0.25">
      <c r="B21" s="3"/>
      <c r="C21" s="3"/>
      <c r="D21" s="3"/>
      <c r="E21" s="7">
        <f t="shared" ref="E21:N21" ca="1" si="20">E9+$P21</f>
        <v>-0.66682692804576726</v>
      </c>
      <c r="F21" s="7">
        <f t="shared" ca="1" si="20"/>
        <v>-4.9798832833137241E-2</v>
      </c>
      <c r="G21" s="7">
        <f t="shared" ca="1" si="20"/>
        <v>-0.10868912904485939</v>
      </c>
      <c r="H21" s="7">
        <f t="shared" ca="1" si="20"/>
        <v>-0.68420476927658025</v>
      </c>
      <c r="I21" s="7">
        <f t="shared" ca="1" si="20"/>
        <v>-0.49645011415107687</v>
      </c>
      <c r="J21" s="7">
        <f t="shared" ca="1" si="20"/>
        <v>5.327914389368027E-2</v>
      </c>
      <c r="K21" s="7">
        <f t="shared" ca="1" si="20"/>
        <v>-1.0395290032358173E-2</v>
      </c>
      <c r="L21" s="7">
        <f t="shared" ca="1" si="20"/>
        <v>-5.3376817468246629E-2</v>
      </c>
      <c r="M21" s="7">
        <f t="shared" ca="1" si="20"/>
        <v>-0.71043030883965108</v>
      </c>
      <c r="N21" s="7">
        <f t="shared" ca="1" si="20"/>
        <v>-0.72338969967953748</v>
      </c>
      <c r="P21" s="11">
        <f t="shared" ca="1" si="7"/>
        <v>-0.77044760318148575</v>
      </c>
      <c r="Q21" s="8">
        <f t="shared" ca="1" si="8"/>
        <v>2.2674052490019261E-2</v>
      </c>
      <c r="R21" s="7">
        <f t="shared" ref="R21:AA21" ca="1" si="21">R9+$AB21</f>
        <v>44.183066501029906</v>
      </c>
      <c r="S21" s="7">
        <f t="shared" ca="1" si="21"/>
        <v>44.401770580168616</v>
      </c>
      <c r="T21" s="7">
        <f t="shared" ca="1" si="21"/>
        <v>44.794362051127905</v>
      </c>
      <c r="U21" s="7">
        <f t="shared" ca="1" si="21"/>
        <v>44.724479762191933</v>
      </c>
      <c r="V21" s="7">
        <f t="shared" ca="1" si="21"/>
        <v>44.657868485913575</v>
      </c>
      <c r="W21" s="7">
        <f t="shared" ca="1" si="21"/>
        <v>44.466472142984941</v>
      </c>
      <c r="X21" s="7">
        <f t="shared" ca="1" si="21"/>
        <v>44.192052545058132</v>
      </c>
      <c r="Y21" s="7">
        <f t="shared" ca="1" si="21"/>
        <v>44.749388246672396</v>
      </c>
      <c r="Z21" s="7">
        <f t="shared" ca="1" si="21"/>
        <v>44.500343925048448</v>
      </c>
      <c r="AA21" s="7">
        <f t="shared" ca="1" si="21"/>
        <v>44.11899124835152</v>
      </c>
      <c r="AB21" s="8">
        <f ca="1">AE9-AB9</f>
        <v>9.6907288487149246E-2</v>
      </c>
      <c r="AC21" s="20"/>
      <c r="AF21" s="3"/>
      <c r="AG21" s="3"/>
      <c r="AH21" s="3"/>
      <c r="AI21" s="3"/>
    </row>
    <row r="22" spans="1:36" x14ac:dyDescent="0.25">
      <c r="B22" s="3"/>
      <c r="C22" s="3"/>
      <c r="D22" s="3"/>
      <c r="E22" s="7">
        <f t="shared" ref="E22:N22" ca="1" si="22">E10+$P22</f>
        <v>0.45472163654269659</v>
      </c>
      <c r="F22" s="7">
        <f t="shared" ca="1" si="22"/>
        <v>0.1204327505365772</v>
      </c>
      <c r="G22" s="7">
        <f t="shared" ca="1" si="22"/>
        <v>0.2625127822369302</v>
      </c>
      <c r="H22" s="7">
        <f t="shared" ca="1" si="22"/>
        <v>0.49321994471314257</v>
      </c>
      <c r="I22" s="7">
        <f t="shared" ca="1" si="22"/>
        <v>0.62516150598254283</v>
      </c>
      <c r="J22" s="7">
        <f t="shared" ca="1" si="22"/>
        <v>0.13476430939070605</v>
      </c>
      <c r="K22" s="7">
        <f t="shared" ca="1" si="22"/>
        <v>0.26348234590762409</v>
      </c>
      <c r="L22" s="7">
        <f t="shared" ca="1" si="22"/>
        <v>0.7523429269748716</v>
      </c>
      <c r="M22" s="7">
        <f t="shared" ca="1" si="22"/>
        <v>0.43465194662640011</v>
      </c>
      <c r="N22" s="7">
        <f t="shared" ca="1" si="22"/>
        <v>0.80454768581799474</v>
      </c>
      <c r="P22" s="11">
        <f t="shared" ca="1" si="7"/>
        <v>0.77905646170598419</v>
      </c>
      <c r="Q22" s="8">
        <f t="shared" ca="1" si="8"/>
        <v>2.290322685014072E-2</v>
      </c>
      <c r="R22" s="7">
        <f t="shared" ref="R22:AA22" ca="1" si="23">R10+$AB22</f>
        <v>44.838735730886356</v>
      </c>
      <c r="S22" s="7">
        <f t="shared" ca="1" si="23"/>
        <v>45.545638147441068</v>
      </c>
      <c r="T22" s="7">
        <f t="shared" ca="1" si="23"/>
        <v>44.960636054165214</v>
      </c>
      <c r="U22" s="7">
        <f t="shared" ca="1" si="23"/>
        <v>44.855139157717147</v>
      </c>
      <c r="V22" s="7">
        <f t="shared" ca="1" si="23"/>
        <v>44.817572241322196</v>
      </c>
      <c r="W22" s="7">
        <f t="shared" ca="1" si="23"/>
        <v>44.837550814697764</v>
      </c>
      <c r="X22" s="7">
        <f t="shared" ca="1" si="23"/>
        <v>45.476489927825419</v>
      </c>
      <c r="Y22" s="7">
        <f t="shared" ca="1" si="23"/>
        <v>45.637861406940061</v>
      </c>
      <c r="Z22" s="7">
        <f t="shared" ca="1" si="23"/>
        <v>45.561871287826534</v>
      </c>
      <c r="AA22" s="7">
        <f t="shared" ca="1" si="23"/>
        <v>45.34783760702738</v>
      </c>
      <c r="AB22" s="8">
        <f ca="1">AE10-AB10</f>
        <v>9.4410092882598939E-2</v>
      </c>
      <c r="AC22" s="20"/>
      <c r="AF22" s="3"/>
      <c r="AG22" s="3"/>
      <c r="AH22" s="3"/>
      <c r="AI22" s="3"/>
    </row>
    <row r="23" spans="1:36" x14ac:dyDescent="0.25">
      <c r="B23" s="3"/>
      <c r="C23" s="3"/>
      <c r="D23" s="3"/>
      <c r="E23" s="7">
        <f t="shared" ref="E23:N23" ca="1" si="24">E11+$P23</f>
        <v>-0.56964668675174057</v>
      </c>
      <c r="F23" s="7">
        <f t="shared" ca="1" si="24"/>
        <v>0.2638436300801823</v>
      </c>
      <c r="G23" s="7">
        <f t="shared" ca="1" si="24"/>
        <v>-0.50237512455782574</v>
      </c>
      <c r="H23" s="7">
        <f t="shared" ca="1" si="24"/>
        <v>-0.31606713426471456</v>
      </c>
      <c r="I23" s="7">
        <f t="shared" ca="1" si="24"/>
        <v>-0.19669967934000354</v>
      </c>
      <c r="J23" s="7">
        <f t="shared" ca="1" si="24"/>
        <v>-0.45216011239652071</v>
      </c>
      <c r="K23" s="7">
        <f t="shared" ca="1" si="24"/>
        <v>-0.26305234933318555</v>
      </c>
      <c r="L23" s="7">
        <f t="shared" ca="1" si="24"/>
        <v>-0.65069327939062138</v>
      </c>
      <c r="M23" s="7">
        <f t="shared" ca="1" si="24"/>
        <v>-0.33559345978435356</v>
      </c>
      <c r="N23" s="7">
        <f t="shared" ca="1" si="24"/>
        <v>-0.49287351642990951</v>
      </c>
      <c r="P23" s="11">
        <f t="shared" ca="1" si="7"/>
        <v>-0.76639917761506648</v>
      </c>
      <c r="Q23" s="8">
        <f t="shared" ca="1" si="8"/>
        <v>2.2535539149148763E-2</v>
      </c>
      <c r="R23" s="7">
        <f t="shared" ref="R23:AA23" ca="1" si="25">R11+$AB23</f>
        <v>46.342777113706227</v>
      </c>
      <c r="S23" s="7">
        <f t="shared" ca="1" si="25"/>
        <v>45.484498892587204</v>
      </c>
      <c r="T23" s="7">
        <f t="shared" ca="1" si="25"/>
        <v>45.824753353060565</v>
      </c>
      <c r="U23" s="7">
        <f t="shared" ca="1" si="25"/>
        <v>45.528975063613622</v>
      </c>
      <c r="V23" s="7">
        <f t="shared" ca="1" si="25"/>
        <v>45.468049652973384</v>
      </c>
      <c r="W23" s="7">
        <f t="shared" ca="1" si="25"/>
        <v>45.627069479251297</v>
      </c>
      <c r="X23" s="7">
        <f t="shared" ca="1" si="25"/>
        <v>45.648543418575464</v>
      </c>
      <c r="Y23" s="7">
        <f t="shared" ca="1" si="25"/>
        <v>46.299395315429742</v>
      </c>
      <c r="Z23" s="7">
        <f t="shared" ca="1" si="25"/>
        <v>46.397239943975869</v>
      </c>
      <c r="AA23" s="7">
        <f t="shared" ca="1" si="25"/>
        <v>45.786344998129429</v>
      </c>
      <c r="AB23" s="8">
        <f ca="1">AE11-AB11</f>
        <v>9.4619613190356056E-2</v>
      </c>
      <c r="AC23" s="20"/>
      <c r="AF23" s="3"/>
      <c r="AG23" s="3"/>
      <c r="AH23" s="3"/>
      <c r="AI23" s="3"/>
    </row>
    <row r="24" spans="1:36" ht="15" x14ac:dyDescent="0.25">
      <c r="A24" s="14" t="s">
        <v>0</v>
      </c>
      <c r="B24" s="3"/>
      <c r="C24" s="3"/>
      <c r="D24" s="3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8"/>
      <c r="Q24" s="8"/>
      <c r="R24" s="7"/>
      <c r="S24" s="7"/>
      <c r="T24" s="7"/>
      <c r="U24" s="7"/>
      <c r="V24" s="7"/>
      <c r="W24" s="7"/>
      <c r="X24" s="7"/>
      <c r="Y24" s="7"/>
      <c r="Z24" s="7"/>
      <c r="AA24" s="7"/>
      <c r="AB24" s="3"/>
      <c r="AD24"/>
      <c r="AE24" s="3"/>
      <c r="AF24" s="3"/>
      <c r="AG24" s="3"/>
      <c r="AH24" s="3"/>
      <c r="AI24" s="3"/>
    </row>
    <row r="25" spans="1:36" ht="15" x14ac:dyDescent="0.25">
      <c r="A25">
        <v>1</v>
      </c>
      <c r="B25">
        <f t="shared" ref="B25:B34" ca="1" si="26">C2</f>
        <v>631</v>
      </c>
      <c r="C25" s="6"/>
      <c r="D25" s="6"/>
      <c r="E25" s="6"/>
      <c r="F25" s="6"/>
      <c r="G25" s="6"/>
      <c r="H25" s="6"/>
      <c r="I25" s="6"/>
      <c r="J25" s="6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/>
      <c r="AE25"/>
      <c r="AF25" s="3"/>
      <c r="AG25" s="3"/>
      <c r="AH25" s="3"/>
      <c r="AI25" s="3"/>
      <c r="AJ25" s="3"/>
    </row>
    <row r="26" spans="1:36" ht="15" x14ac:dyDescent="0.25">
      <c r="A26">
        <v>2</v>
      </c>
      <c r="B26">
        <f t="shared" ca="1" si="26"/>
        <v>632.92328750638251</v>
      </c>
      <c r="C26" s="6"/>
      <c r="D26" s="6"/>
      <c r="E26" s="6"/>
      <c r="F26" s="6"/>
      <c r="G26" s="6"/>
      <c r="H26" s="6"/>
      <c r="I26" s="6"/>
      <c r="J26" s="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/>
      <c r="AE26"/>
      <c r="AF26" s="3"/>
      <c r="AG26" s="3"/>
      <c r="AH26" s="3"/>
      <c r="AI26" s="3"/>
      <c r="AJ26" s="3"/>
    </row>
    <row r="27" spans="1:36" ht="15" x14ac:dyDescent="0.25">
      <c r="A27">
        <v>3</v>
      </c>
      <c r="B27">
        <f t="shared" ca="1" si="26"/>
        <v>633.15368300997068</v>
      </c>
      <c r="C27" s="6"/>
      <c r="D27" s="6"/>
      <c r="E27" s="6"/>
      <c r="F27" s="6"/>
      <c r="G27" s="6"/>
      <c r="H27" s="6"/>
      <c r="I27" s="6"/>
      <c r="J27" s="6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/>
      <c r="AE27"/>
      <c r="AF27" s="3"/>
      <c r="AG27" s="3"/>
      <c r="AH27" s="3"/>
      <c r="AI27" s="3"/>
      <c r="AJ27" s="3"/>
    </row>
    <row r="28" spans="1:36" ht="15" x14ac:dyDescent="0.25">
      <c r="A28">
        <v>4</v>
      </c>
      <c r="B28">
        <f t="shared" ca="1" si="26"/>
        <v>635.0890387325536</v>
      </c>
      <c r="C28" s="6"/>
      <c r="D28" s="6"/>
      <c r="E28" s="6"/>
      <c r="F28" s="6"/>
      <c r="G28" s="6"/>
      <c r="H28" s="6"/>
      <c r="I28" s="6"/>
      <c r="J28" s="6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/>
      <c r="AE28"/>
      <c r="AF28" s="3"/>
      <c r="AG28" s="3"/>
      <c r="AH28" s="3"/>
      <c r="AI28" s="3"/>
      <c r="AJ28" s="3"/>
    </row>
    <row r="29" spans="1:36" ht="15" x14ac:dyDescent="0.25">
      <c r="A29">
        <v>5</v>
      </c>
      <c r="B29">
        <f t="shared" ca="1" si="26"/>
        <v>635.74546675307772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/>
      <c r="AE29"/>
      <c r="AF29" s="3"/>
      <c r="AG29" s="3"/>
      <c r="AH29" s="3"/>
      <c r="AI29" s="3"/>
      <c r="AJ29" s="3"/>
    </row>
    <row r="30" spans="1:36" ht="15" x14ac:dyDescent="0.25">
      <c r="A30">
        <v>6</v>
      </c>
      <c r="B30">
        <f t="shared" ca="1" si="26"/>
        <v>637.03315909114735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/>
      <c r="AE30"/>
      <c r="AF30" s="3"/>
      <c r="AG30" s="3"/>
      <c r="AH30" s="3"/>
      <c r="AI30" s="3"/>
      <c r="AJ30" s="3"/>
    </row>
    <row r="31" spans="1:36" ht="15" x14ac:dyDescent="0.25">
      <c r="A31">
        <v>7</v>
      </c>
      <c r="B31">
        <f t="shared" ca="1" si="26"/>
        <v>638.0665973506209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/>
      <c r="AE31"/>
      <c r="AF31" s="3"/>
      <c r="AG31" s="3"/>
      <c r="AH31" s="3"/>
      <c r="AI31" s="3"/>
      <c r="AJ31" s="3"/>
    </row>
    <row r="32" spans="1:36" x14ac:dyDescent="0.25">
      <c r="A32">
        <v>8</v>
      </c>
      <c r="B32">
        <f t="shared" ca="1" si="26"/>
        <v>638.36036960695105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4"/>
      <c r="AF32" s="3"/>
      <c r="AG32" s="3"/>
      <c r="AH32" s="3"/>
      <c r="AI32" s="3"/>
      <c r="AJ32" s="3"/>
    </row>
    <row r="33" spans="1:36" ht="15" x14ac:dyDescent="0.25">
      <c r="A33">
        <v>9</v>
      </c>
      <c r="B33">
        <f t="shared" ca="1" si="26"/>
        <v>639.65341147648439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</row>
    <row r="34" spans="1:36" ht="15" x14ac:dyDescent="0.25">
      <c r="A34">
        <v>10</v>
      </c>
      <c r="B34">
        <f t="shared" ca="1" si="26"/>
        <v>641.54802824075341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</row>
    <row r="35" spans="1:36" ht="15" x14ac:dyDescent="0.25">
      <c r="A35">
        <v>11</v>
      </c>
      <c r="B35" s="15">
        <f ca="1">AC2</f>
        <v>609.94598493165324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</row>
    <row r="36" spans="1:36" x14ac:dyDescent="0.25">
      <c r="A36">
        <v>12</v>
      </c>
      <c r="B36" s="15">
        <f t="shared" ref="B36:B44" ca="1" si="27">AC3</f>
        <v>612.05845082800442</v>
      </c>
      <c r="AD36"/>
      <c r="AE36" s="2"/>
      <c r="AF36" s="1"/>
    </row>
    <row r="37" spans="1:36" x14ac:dyDescent="0.25">
      <c r="A37">
        <v>13</v>
      </c>
      <c r="B37" s="15">
        <f t="shared" ca="1" si="27"/>
        <v>615.36251489964548</v>
      </c>
      <c r="AD37"/>
      <c r="AE37" s="2"/>
      <c r="AF37" s="1"/>
    </row>
    <row r="38" spans="1:36" x14ac:dyDescent="0.25">
      <c r="A38">
        <v>14</v>
      </c>
      <c r="B38" s="15">
        <f t="shared" ca="1" si="27"/>
        <v>618.55516383682811</v>
      </c>
      <c r="AD38"/>
      <c r="AE38" s="2"/>
      <c r="AF38" s="1"/>
    </row>
    <row r="39" spans="1:36" x14ac:dyDescent="0.25">
      <c r="A39">
        <v>15</v>
      </c>
      <c r="B39" s="15">
        <f t="shared" ca="1" si="27"/>
        <v>616.3619146899606</v>
      </c>
      <c r="AD39"/>
      <c r="AE39" s="2"/>
      <c r="AF39" s="1"/>
    </row>
    <row r="40" spans="1:36" x14ac:dyDescent="0.25">
      <c r="A40">
        <v>16</v>
      </c>
      <c r="B40" s="15">
        <f t="shared" ca="1" si="27"/>
        <v>615.34557929715197</v>
      </c>
      <c r="AD40"/>
      <c r="AE40" s="2"/>
      <c r="AF40" s="1"/>
    </row>
    <row r="41" spans="1:36" x14ac:dyDescent="0.25">
      <c r="A41">
        <v>17</v>
      </c>
      <c r="B41" s="15">
        <f t="shared" ca="1" si="27"/>
        <v>614.42241398612828</v>
      </c>
      <c r="AD41"/>
      <c r="AE41" s="2"/>
      <c r="AF41" s="1"/>
    </row>
    <row r="42" spans="1:36" x14ac:dyDescent="0.25">
      <c r="A42">
        <v>18</v>
      </c>
      <c r="B42" s="15">
        <f t="shared" ca="1" si="27"/>
        <v>613.93799614108275</v>
      </c>
      <c r="AD42"/>
      <c r="AE42" s="2"/>
      <c r="AF42" s="1"/>
    </row>
    <row r="43" spans="1:36" x14ac:dyDescent="0.25">
      <c r="A43">
        <v>19</v>
      </c>
      <c r="B43" s="15">
        <f t="shared" ca="1" si="27"/>
        <v>617.65236015954963</v>
      </c>
      <c r="AD43"/>
      <c r="AE43" s="2"/>
      <c r="AF43" s="1"/>
    </row>
    <row r="44" spans="1:36" x14ac:dyDescent="0.25">
      <c r="A44">
        <v>20</v>
      </c>
      <c r="B44" s="15">
        <f t="shared" ca="1" si="27"/>
        <v>619.57610160322167</v>
      </c>
      <c r="AD44"/>
      <c r="AE44" s="2"/>
      <c r="AF44" s="1"/>
    </row>
  </sheetData>
  <mergeCells count="2">
    <mergeCell ref="AD1:AE1"/>
    <mergeCell ref="AB1:AC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842A7-B594-47A6-ADAB-FF03E1744095}">
  <sheetPr codeName="Sheet1"/>
  <dimension ref="A1:AM66"/>
  <sheetViews>
    <sheetView workbookViewId="0">
      <selection sqref="A1:Q14"/>
    </sheetView>
  </sheetViews>
  <sheetFormatPr defaultRowHeight="15" x14ac:dyDescent="0.25"/>
  <cols>
    <col min="1" max="1" width="6.85546875" bestFit="1" customWidth="1"/>
    <col min="2" max="2" width="7" style="17" bestFit="1" customWidth="1"/>
    <col min="3" max="4" width="5" style="17" bestFit="1" customWidth="1"/>
    <col min="5" max="6" width="7" bestFit="1" customWidth="1"/>
    <col min="7" max="8" width="6.5703125" bestFit="1" customWidth="1"/>
    <col min="9" max="9" width="4" bestFit="1" customWidth="1"/>
    <col min="10" max="10" width="9.140625" bestFit="1" customWidth="1"/>
    <col min="11" max="11" width="8.42578125" bestFit="1" customWidth="1"/>
    <col min="12" max="12" width="3" bestFit="1" customWidth="1"/>
    <col min="13" max="13" width="5.42578125" bestFit="1" customWidth="1"/>
    <col min="14" max="14" width="6.5703125" bestFit="1" customWidth="1"/>
    <col min="15" max="15" width="1.5703125" bestFit="1" customWidth="1"/>
    <col min="16" max="16" width="5.42578125" bestFit="1" customWidth="1"/>
    <col min="17" max="17" width="6.5703125" bestFit="1" customWidth="1"/>
    <col min="18" max="18" width="1.5703125" bestFit="1" customWidth="1"/>
    <col min="19" max="19" width="5.42578125" bestFit="1" customWidth="1"/>
    <col min="20" max="20" width="6.5703125" bestFit="1" customWidth="1"/>
    <col min="21" max="21" width="1.5703125" bestFit="1" customWidth="1"/>
    <col min="22" max="22" width="5.42578125" bestFit="1" customWidth="1"/>
    <col min="23" max="23" width="6.5703125" bestFit="1" customWidth="1"/>
    <col min="24" max="24" width="1.5703125" bestFit="1" customWidth="1"/>
    <col min="25" max="25" width="5.42578125" bestFit="1" customWidth="1"/>
    <col min="26" max="26" width="6.5703125" bestFit="1" customWidth="1"/>
    <col min="27" max="27" width="1.5703125" bestFit="1" customWidth="1"/>
    <col min="28" max="28" width="5.42578125" bestFit="1" customWidth="1"/>
    <col min="29" max="29" width="6.5703125" bestFit="1" customWidth="1"/>
    <col min="30" max="30" width="1.5703125" bestFit="1" customWidth="1"/>
    <col min="31" max="31" width="5.42578125" bestFit="1" customWidth="1"/>
    <col min="32" max="32" width="6.5703125" bestFit="1" customWidth="1"/>
    <col min="33" max="33" width="1.5703125" bestFit="1" customWidth="1"/>
    <col min="34" max="34" width="5.42578125" bestFit="1" customWidth="1"/>
    <col min="35" max="35" width="6.5703125" bestFit="1" customWidth="1"/>
    <col min="36" max="36" width="1.5703125" bestFit="1" customWidth="1"/>
    <col min="37" max="37" width="5.42578125" bestFit="1" customWidth="1"/>
    <col min="38" max="38" width="6.5703125" bestFit="1" customWidth="1"/>
    <col min="39" max="39" width="2.28515625" bestFit="1" customWidth="1"/>
  </cols>
  <sheetData>
    <row r="1" spans="1:39" x14ac:dyDescent="0.25">
      <c r="A1" t="s">
        <v>24</v>
      </c>
    </row>
    <row r="2" spans="1:39" x14ac:dyDescent="0.25">
      <c r="A2" t="s">
        <v>25</v>
      </c>
      <c r="B2" s="17">
        <v>0</v>
      </c>
      <c r="C2" s="17">
        <v>0</v>
      </c>
      <c r="D2" s="17">
        <v>0</v>
      </c>
      <c r="E2">
        <v>0</v>
      </c>
      <c r="F2">
        <v>0</v>
      </c>
      <c r="G2">
        <v>0</v>
      </c>
      <c r="H2">
        <v>0</v>
      </c>
      <c r="I2">
        <v>0.1</v>
      </c>
      <c r="J2">
        <v>0.2</v>
      </c>
      <c r="K2">
        <v>0.7</v>
      </c>
      <c r="M2">
        <v>1</v>
      </c>
    </row>
    <row r="3" spans="1:39" x14ac:dyDescent="0.25">
      <c r="A3" t="s">
        <v>26</v>
      </c>
      <c r="B3" s="17">
        <v>0.7</v>
      </c>
      <c r="C3" s="17">
        <v>0.2</v>
      </c>
      <c r="D3" s="17">
        <v>0.1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M3">
        <v>1</v>
      </c>
    </row>
    <row r="4" spans="1:39" x14ac:dyDescent="0.25">
      <c r="A4" t="s">
        <v>27</v>
      </c>
      <c r="B4" s="17">
        <v>0</v>
      </c>
      <c r="C4" s="17">
        <v>0</v>
      </c>
      <c r="D4" s="17">
        <v>0</v>
      </c>
      <c r="E4">
        <v>0.1</v>
      </c>
      <c r="F4">
        <v>0.4</v>
      </c>
      <c r="G4">
        <v>0.4</v>
      </c>
      <c r="H4">
        <v>0.1</v>
      </c>
      <c r="I4">
        <v>0</v>
      </c>
      <c r="J4">
        <v>0</v>
      </c>
      <c r="K4">
        <v>0</v>
      </c>
      <c r="M4">
        <v>1</v>
      </c>
    </row>
    <row r="5" spans="1:39" x14ac:dyDescent="0.25">
      <c r="A5" t="s">
        <v>28</v>
      </c>
      <c r="B5" s="17">
        <v>0.4</v>
      </c>
      <c r="C5" s="17">
        <v>0.1</v>
      </c>
      <c r="D5" s="17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0.1</v>
      </c>
      <c r="K5">
        <v>0.4</v>
      </c>
      <c r="M5">
        <v>1</v>
      </c>
    </row>
    <row r="8" spans="1:39" x14ac:dyDescent="0.25">
      <c r="A8" t="s">
        <v>2</v>
      </c>
      <c r="B8" s="16">
        <f ca="1">RANDBETWEEN(0,1000)</f>
        <v>51</v>
      </c>
      <c r="C8" s="16"/>
      <c r="D8" s="16">
        <f ca="1">(RAND()+1)*$B$9</f>
        <v>0</v>
      </c>
      <c r="E8" s="16">
        <f ca="1">B8</f>
        <v>51</v>
      </c>
      <c r="F8" s="16">
        <f ca="1">E12+D8</f>
        <v>51</v>
      </c>
      <c r="G8" s="17">
        <f ca="1">F12+$B$9</f>
        <v>51</v>
      </c>
      <c r="H8" s="17">
        <f ca="1">G12+$B$9</f>
        <v>51</v>
      </c>
      <c r="I8" t="s">
        <v>22</v>
      </c>
      <c r="J8" t="s">
        <v>20</v>
      </c>
      <c r="K8" s="17">
        <f ca="1">E8</f>
        <v>51</v>
      </c>
      <c r="L8" s="17" t="s">
        <v>21</v>
      </c>
      <c r="M8" s="17" t="s">
        <v>11</v>
      </c>
      <c r="N8" s="17">
        <f ca="1">E9</f>
        <v>51</v>
      </c>
      <c r="O8" s="17" t="s">
        <v>21</v>
      </c>
      <c r="P8" s="17" t="s">
        <v>12</v>
      </c>
      <c r="Q8" s="17">
        <f ca="1">E10</f>
        <v>51</v>
      </c>
      <c r="R8" s="17" t="s">
        <v>21</v>
      </c>
      <c r="S8" s="17" t="s">
        <v>13</v>
      </c>
      <c r="T8" s="17">
        <f ca="1">E11</f>
        <v>51</v>
      </c>
      <c r="U8" s="17" t="s">
        <v>21</v>
      </c>
      <c r="V8" s="17" t="s">
        <v>14</v>
      </c>
      <c r="W8" s="17">
        <f ca="1">E12</f>
        <v>51</v>
      </c>
      <c r="X8" s="17" t="s">
        <v>21</v>
      </c>
      <c r="Y8" s="17" t="s">
        <v>15</v>
      </c>
      <c r="Z8" s="17">
        <f ca="1">F8</f>
        <v>51</v>
      </c>
      <c r="AA8" s="17" t="s">
        <v>21</v>
      </c>
      <c r="AB8" s="17" t="s">
        <v>16</v>
      </c>
      <c r="AC8" s="17">
        <f ca="1">F9</f>
        <v>51</v>
      </c>
      <c r="AD8" s="17" t="s">
        <v>21</v>
      </c>
      <c r="AE8" s="17" t="s">
        <v>17</v>
      </c>
      <c r="AF8" s="17">
        <f ca="1">F10</f>
        <v>51</v>
      </c>
      <c r="AG8" s="17" t="s">
        <v>21</v>
      </c>
      <c r="AH8" s="17" t="s">
        <v>18</v>
      </c>
      <c r="AI8" s="17">
        <f ca="1">F11</f>
        <v>51</v>
      </c>
      <c r="AJ8" s="17" t="s">
        <v>21</v>
      </c>
      <c r="AK8" s="17" t="s">
        <v>19</v>
      </c>
      <c r="AL8" s="17">
        <f ca="1">F12</f>
        <v>51</v>
      </c>
      <c r="AM8" t="s">
        <v>23</v>
      </c>
    </row>
    <row r="9" spans="1:39" x14ac:dyDescent="0.25">
      <c r="A9" t="s">
        <v>1</v>
      </c>
      <c r="B9" s="16">
        <f ca="1">RANDBETWEEN(-10,10)</f>
        <v>0</v>
      </c>
      <c r="C9" s="16">
        <f ca="1">(RAND()+1)*$B$9</f>
        <v>0</v>
      </c>
      <c r="D9" s="16">
        <f ca="1">(RAND()+1)*$B$9</f>
        <v>0</v>
      </c>
      <c r="E9" s="16">
        <f t="shared" ref="E9:F12" ca="1" si="0">E8+C9</f>
        <v>51</v>
      </c>
      <c r="F9" s="16">
        <f t="shared" ca="1" si="0"/>
        <v>51</v>
      </c>
      <c r="G9" s="17">
        <f ca="1">G8+$B$9</f>
        <v>51</v>
      </c>
      <c r="H9" s="17">
        <f ca="1">H8+$B$9</f>
        <v>51</v>
      </c>
      <c r="I9" t="s">
        <v>10</v>
      </c>
      <c r="J9" t="s">
        <v>29</v>
      </c>
      <c r="K9" s="17">
        <f ca="1">(E$8*$B2)+(E$9*$C2)+(E$10*$D2)+(E$11*$E2)+(E$12*$F2)+(F$8*$G2)+(F$9*$H2)+(F$10*$I2)+(F$11*$J2)+(F$12*$K2)</f>
        <v>51</v>
      </c>
      <c r="L9" s="17" t="s">
        <v>21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</row>
    <row r="10" spans="1:39" x14ac:dyDescent="0.25">
      <c r="B10" s="16"/>
      <c r="C10" s="16">
        <f t="shared" ref="C10:C12" ca="1" si="1">(RAND()+1)*$B$9</f>
        <v>0</v>
      </c>
      <c r="D10" s="16">
        <f ca="1">(RAND()+1)*$B$9</f>
        <v>0</v>
      </c>
      <c r="E10" s="16">
        <f t="shared" ca="1" si="0"/>
        <v>51</v>
      </c>
      <c r="F10" s="16">
        <f t="shared" ca="1" si="0"/>
        <v>51</v>
      </c>
      <c r="G10" s="17">
        <f t="shared" ref="G10:G12" ca="1" si="2">G9+$B$9</f>
        <v>51</v>
      </c>
      <c r="H10" s="17">
        <f ca="1">H9+$B$9</f>
        <v>51</v>
      </c>
      <c r="J10" t="s">
        <v>30</v>
      </c>
      <c r="K10" s="17">
        <f ca="1">(E$8*$B3)+(E$9*$C3)+(E$10*$D3)+(E$11*$E3)+(E$12*$F3)+(F$8*$G3)+(F$9*$H3)+(F$10*$I3)+(F$11*$J3)+(F$12*$K3)</f>
        <v>51</v>
      </c>
      <c r="L10" s="17" t="s">
        <v>21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</row>
    <row r="11" spans="1:39" x14ac:dyDescent="0.25">
      <c r="B11" s="16"/>
      <c r="C11" s="16">
        <f t="shared" ca="1" si="1"/>
        <v>0</v>
      </c>
      <c r="D11" s="16">
        <f ca="1">(RAND()+1)*$B$9</f>
        <v>0</v>
      </c>
      <c r="E11" s="16">
        <f t="shared" ca="1" si="0"/>
        <v>51</v>
      </c>
      <c r="F11" s="16">
        <f t="shared" ca="1" si="0"/>
        <v>51</v>
      </c>
      <c r="G11" s="17">
        <f t="shared" ca="1" si="2"/>
        <v>51</v>
      </c>
      <c r="H11" s="17">
        <f ca="1">H10+$B$9</f>
        <v>51</v>
      </c>
      <c r="J11" t="s">
        <v>31</v>
      </c>
      <c r="K11" s="17">
        <f ca="1">(E$8*$B4)+(E$9*$C4)+(E$10*$D4)+(E$11*$E4)+(E$12*$F4)+(F$8*$G4)+(F$9*$H4)+(F$10*$I4)+(F$11*$J4)+(F$12*$K4)</f>
        <v>51.000000000000007</v>
      </c>
      <c r="L11" s="17" t="s">
        <v>21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</row>
    <row r="12" spans="1:39" x14ac:dyDescent="0.25">
      <c r="B12" s="16"/>
      <c r="C12" s="16">
        <f t="shared" ca="1" si="1"/>
        <v>0</v>
      </c>
      <c r="D12" s="16">
        <f ca="1">(RAND()+1)*$B$9</f>
        <v>0</v>
      </c>
      <c r="E12" s="16">
        <f t="shared" ca="1" si="0"/>
        <v>51</v>
      </c>
      <c r="F12" s="16">
        <f t="shared" ca="1" si="0"/>
        <v>51</v>
      </c>
      <c r="G12" s="17">
        <f t="shared" ca="1" si="2"/>
        <v>51</v>
      </c>
      <c r="H12" s="17">
        <f ca="1">H11+$B$9</f>
        <v>51</v>
      </c>
      <c r="J12" t="s">
        <v>32</v>
      </c>
      <c r="K12" s="17">
        <f ca="1">(E$8*$B5)+(E$9*$C5)+(E$10*$D5)+(E$11*$E5)+(E$12*$F5)+(F$8*$G5)+(F$9*$H5)+(F$10*$I5)+(F$11*$J5)+(F$12*$K5)</f>
        <v>51.000000000000007</v>
      </c>
      <c r="L12" s="17" t="s">
        <v>33</v>
      </c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</row>
    <row r="13" spans="1:39" x14ac:dyDescent="0.25">
      <c r="B13" s="16"/>
      <c r="D13" s="16"/>
    </row>
    <row r="14" spans="1:39" x14ac:dyDescent="0.25">
      <c r="B14" s="16"/>
      <c r="C14" s="16"/>
      <c r="D14" s="16"/>
      <c r="E14" s="16"/>
      <c r="F14" s="16"/>
      <c r="G14" s="17"/>
      <c r="H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</row>
    <row r="15" spans="1:39" x14ac:dyDescent="0.25">
      <c r="B15" s="16"/>
      <c r="C15" s="16"/>
      <c r="D15" s="16"/>
      <c r="E15" s="16"/>
      <c r="F15" s="16"/>
      <c r="G15" s="17"/>
      <c r="H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</row>
    <row r="16" spans="1:39" x14ac:dyDescent="0.25">
      <c r="B16" s="16"/>
      <c r="C16" s="16"/>
      <c r="D16" s="16"/>
      <c r="E16" s="16"/>
      <c r="F16" s="16"/>
      <c r="G16" s="17"/>
      <c r="H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</row>
    <row r="17" spans="2:38" x14ac:dyDescent="0.25">
      <c r="B17" s="16"/>
      <c r="C17" s="16"/>
      <c r="D17" s="16"/>
      <c r="E17" s="16"/>
      <c r="F17" s="16"/>
      <c r="G17" s="17"/>
      <c r="H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</row>
    <row r="18" spans="2:38" x14ac:dyDescent="0.25">
      <c r="B18" s="16"/>
      <c r="C18" s="16"/>
      <c r="D18" s="16"/>
      <c r="E18" s="16"/>
      <c r="F18" s="16"/>
      <c r="G18" s="17"/>
      <c r="H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</row>
    <row r="19" spans="2:38" x14ac:dyDescent="0.25">
      <c r="J19" s="17"/>
    </row>
    <row r="20" spans="2:38" x14ac:dyDescent="0.25">
      <c r="B20" s="16"/>
      <c r="C20" s="16"/>
      <c r="D20" s="16"/>
      <c r="E20" s="16"/>
      <c r="F20" s="16"/>
      <c r="G20" s="17"/>
      <c r="H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</row>
    <row r="21" spans="2:38" x14ac:dyDescent="0.25">
      <c r="B21" s="16"/>
      <c r="C21" s="16"/>
      <c r="D21" s="16"/>
      <c r="E21" s="16"/>
      <c r="F21" s="16"/>
      <c r="G21" s="17"/>
      <c r="H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</row>
    <row r="22" spans="2:38" x14ac:dyDescent="0.25">
      <c r="B22" s="16"/>
      <c r="C22" s="16"/>
      <c r="D22" s="16"/>
      <c r="E22" s="16"/>
      <c r="F22" s="16"/>
      <c r="G22" s="17"/>
      <c r="H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</row>
    <row r="23" spans="2:38" x14ac:dyDescent="0.25">
      <c r="B23" s="16"/>
      <c r="C23" s="16"/>
      <c r="D23" s="16"/>
      <c r="E23" s="16"/>
      <c r="F23" s="16"/>
      <c r="G23" s="17"/>
      <c r="H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</row>
    <row r="24" spans="2:38" x14ac:dyDescent="0.25">
      <c r="B24" s="16"/>
      <c r="C24" s="16"/>
      <c r="D24" s="16"/>
      <c r="E24" s="16"/>
      <c r="F24" s="16"/>
      <c r="G24" s="17"/>
      <c r="H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</row>
    <row r="25" spans="2:38" x14ac:dyDescent="0.25">
      <c r="J25" s="17"/>
    </row>
    <row r="26" spans="2:38" x14ac:dyDescent="0.25">
      <c r="B26" s="16"/>
      <c r="C26" s="16"/>
      <c r="D26" s="16"/>
      <c r="E26" s="16"/>
      <c r="F26" s="16"/>
      <c r="G26" s="17"/>
      <c r="H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</row>
    <row r="27" spans="2:38" x14ac:dyDescent="0.25">
      <c r="B27" s="16"/>
      <c r="C27" s="16"/>
      <c r="D27" s="16"/>
      <c r="E27" s="16"/>
      <c r="F27" s="16"/>
      <c r="G27" s="17"/>
      <c r="H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</row>
    <row r="28" spans="2:38" x14ac:dyDescent="0.25">
      <c r="B28" s="16"/>
      <c r="C28" s="16"/>
      <c r="D28" s="16"/>
      <c r="E28" s="16"/>
      <c r="F28" s="16"/>
      <c r="G28" s="17"/>
      <c r="H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</row>
    <row r="29" spans="2:38" x14ac:dyDescent="0.25">
      <c r="B29" s="16"/>
      <c r="C29" s="16"/>
      <c r="D29" s="16"/>
      <c r="E29" s="16"/>
      <c r="F29" s="16"/>
      <c r="G29" s="17"/>
      <c r="H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</row>
    <row r="30" spans="2:38" x14ac:dyDescent="0.25">
      <c r="B30" s="16"/>
      <c r="C30" s="16"/>
      <c r="D30" s="16"/>
      <c r="E30" s="16"/>
      <c r="F30" s="16"/>
      <c r="G30" s="17"/>
      <c r="H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</row>
    <row r="32" spans="2:38" x14ac:dyDescent="0.25">
      <c r="B32" s="16"/>
      <c r="C32" s="16"/>
      <c r="D32" s="16"/>
      <c r="E32" s="16"/>
      <c r="F32" s="16"/>
      <c r="G32" s="17"/>
      <c r="H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</row>
    <row r="33" spans="2:38" x14ac:dyDescent="0.25">
      <c r="B33" s="16"/>
      <c r="C33" s="16"/>
      <c r="D33" s="16"/>
      <c r="E33" s="16"/>
      <c r="F33" s="16"/>
      <c r="G33" s="17"/>
      <c r="H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</row>
    <row r="34" spans="2:38" x14ac:dyDescent="0.25">
      <c r="B34" s="16"/>
      <c r="C34" s="16"/>
      <c r="D34" s="16"/>
      <c r="E34" s="16"/>
      <c r="F34" s="16"/>
      <c r="G34" s="17"/>
      <c r="H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</row>
    <row r="35" spans="2:38" x14ac:dyDescent="0.25">
      <c r="B35" s="16"/>
      <c r="C35" s="16"/>
      <c r="D35" s="16"/>
      <c r="E35" s="16"/>
      <c r="F35" s="16"/>
      <c r="G35" s="17"/>
      <c r="H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</row>
    <row r="36" spans="2:38" x14ac:dyDescent="0.25">
      <c r="B36" s="16"/>
      <c r="C36" s="16"/>
      <c r="D36" s="16"/>
      <c r="E36" s="16"/>
      <c r="F36" s="16"/>
      <c r="G36" s="17"/>
      <c r="H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</row>
    <row r="38" spans="2:38" x14ac:dyDescent="0.25">
      <c r="B38" s="16"/>
      <c r="C38" s="16"/>
      <c r="D38" s="16"/>
      <c r="E38" s="16"/>
      <c r="F38" s="16"/>
      <c r="G38" s="17"/>
      <c r="H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</row>
    <row r="39" spans="2:38" x14ac:dyDescent="0.25">
      <c r="B39" s="16"/>
      <c r="C39" s="16"/>
      <c r="D39" s="16"/>
      <c r="E39" s="16"/>
      <c r="F39" s="16"/>
      <c r="G39" s="17"/>
      <c r="H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</row>
    <row r="40" spans="2:38" x14ac:dyDescent="0.25">
      <c r="B40" s="16"/>
      <c r="C40" s="16"/>
      <c r="D40" s="16"/>
      <c r="E40" s="16"/>
      <c r="F40" s="16"/>
      <c r="G40" s="17"/>
      <c r="H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</row>
    <row r="41" spans="2:38" x14ac:dyDescent="0.25">
      <c r="B41" s="16"/>
      <c r="C41" s="16"/>
      <c r="D41" s="16"/>
      <c r="E41" s="16"/>
      <c r="F41" s="16"/>
      <c r="G41" s="17"/>
      <c r="H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</row>
    <row r="42" spans="2:38" x14ac:dyDescent="0.25">
      <c r="B42" s="16"/>
      <c r="C42" s="16"/>
      <c r="D42" s="16"/>
      <c r="E42" s="16"/>
      <c r="F42" s="16"/>
      <c r="G42" s="17"/>
      <c r="H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</row>
    <row r="44" spans="2:38" x14ac:dyDescent="0.25">
      <c r="B44" s="16"/>
      <c r="C44" s="16"/>
      <c r="D44" s="16"/>
      <c r="E44" s="16"/>
      <c r="F44" s="16"/>
      <c r="G44" s="17"/>
      <c r="H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</row>
    <row r="45" spans="2:38" x14ac:dyDescent="0.25">
      <c r="B45" s="16"/>
      <c r="C45" s="16"/>
      <c r="D45" s="16"/>
      <c r="E45" s="16"/>
      <c r="F45" s="16"/>
      <c r="G45" s="17"/>
      <c r="H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</row>
    <row r="46" spans="2:38" x14ac:dyDescent="0.25">
      <c r="B46" s="16"/>
      <c r="C46" s="16"/>
      <c r="D46" s="16"/>
      <c r="E46" s="16"/>
      <c r="F46" s="16"/>
      <c r="G46" s="17"/>
      <c r="H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</row>
    <row r="47" spans="2:38" x14ac:dyDescent="0.25">
      <c r="B47" s="16"/>
      <c r="C47" s="16"/>
      <c r="D47" s="16"/>
      <c r="E47" s="16"/>
      <c r="F47" s="16"/>
      <c r="G47" s="17"/>
      <c r="H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</row>
    <row r="48" spans="2:38" x14ac:dyDescent="0.25">
      <c r="B48" s="16"/>
      <c r="C48" s="16"/>
      <c r="D48" s="16"/>
      <c r="E48" s="16"/>
      <c r="F48" s="16"/>
      <c r="G48" s="17"/>
      <c r="H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</row>
    <row r="50" spans="2:38" x14ac:dyDescent="0.25">
      <c r="B50" s="16"/>
      <c r="C50" s="16"/>
      <c r="D50" s="16"/>
      <c r="E50" s="16"/>
      <c r="F50" s="16"/>
      <c r="G50" s="17"/>
      <c r="H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</row>
    <row r="51" spans="2:38" x14ac:dyDescent="0.25">
      <c r="B51" s="16"/>
      <c r="C51" s="16"/>
      <c r="D51" s="16"/>
      <c r="E51" s="16"/>
      <c r="F51" s="16"/>
      <c r="G51" s="17"/>
      <c r="H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</row>
    <row r="52" spans="2:38" x14ac:dyDescent="0.25">
      <c r="B52" s="16"/>
      <c r="C52" s="16"/>
      <c r="D52" s="16"/>
      <c r="E52" s="16"/>
      <c r="F52" s="16"/>
      <c r="G52" s="17"/>
      <c r="H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</row>
    <row r="53" spans="2:38" x14ac:dyDescent="0.25">
      <c r="B53" s="16"/>
      <c r="C53" s="16"/>
      <c r="D53" s="16"/>
      <c r="E53" s="16"/>
      <c r="F53" s="16"/>
      <c r="G53" s="17"/>
      <c r="H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</row>
    <row r="54" spans="2:38" x14ac:dyDescent="0.25">
      <c r="B54" s="16"/>
      <c r="C54" s="16"/>
      <c r="D54" s="16"/>
      <c r="E54" s="16"/>
      <c r="F54" s="16"/>
      <c r="G54" s="17"/>
      <c r="H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</row>
    <row r="56" spans="2:38" x14ac:dyDescent="0.25">
      <c r="B56" s="16"/>
      <c r="C56" s="16"/>
      <c r="D56" s="16"/>
      <c r="E56" s="16"/>
      <c r="F56" s="16"/>
      <c r="G56" s="17"/>
      <c r="H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</row>
    <row r="57" spans="2:38" x14ac:dyDescent="0.25">
      <c r="B57" s="16"/>
      <c r="C57" s="16"/>
      <c r="D57" s="16"/>
      <c r="E57" s="16"/>
      <c r="F57" s="16"/>
      <c r="G57" s="17"/>
      <c r="H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</row>
    <row r="58" spans="2:38" x14ac:dyDescent="0.25">
      <c r="B58" s="16"/>
      <c r="C58" s="16"/>
      <c r="D58" s="16"/>
      <c r="E58" s="16"/>
      <c r="F58" s="16"/>
      <c r="G58" s="17"/>
      <c r="H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</row>
    <row r="59" spans="2:38" x14ac:dyDescent="0.25">
      <c r="B59" s="16"/>
      <c r="C59" s="16"/>
      <c r="D59" s="16"/>
      <c r="E59" s="16"/>
      <c r="F59" s="16"/>
      <c r="G59" s="17"/>
      <c r="H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</row>
    <row r="60" spans="2:38" x14ac:dyDescent="0.25">
      <c r="B60" s="16"/>
      <c r="C60" s="16"/>
      <c r="D60" s="16"/>
      <c r="E60" s="16"/>
      <c r="F60" s="16"/>
      <c r="G60" s="17"/>
      <c r="H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</row>
    <row r="62" spans="2:38" x14ac:dyDescent="0.25">
      <c r="B62" s="16"/>
      <c r="C62" s="16"/>
      <c r="D62" s="16"/>
      <c r="E62" s="16"/>
      <c r="F62" s="16"/>
      <c r="G62" s="17"/>
      <c r="H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</row>
    <row r="63" spans="2:38" x14ac:dyDescent="0.25">
      <c r="B63" s="16"/>
      <c r="C63" s="16"/>
      <c r="D63" s="16"/>
      <c r="E63" s="16"/>
      <c r="F63" s="16"/>
      <c r="G63" s="17"/>
      <c r="H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</row>
    <row r="64" spans="2:38" x14ac:dyDescent="0.25">
      <c r="B64" s="16"/>
      <c r="C64" s="16"/>
      <c r="D64" s="16"/>
      <c r="E64" s="16"/>
      <c r="F64" s="16"/>
      <c r="G64" s="17"/>
      <c r="H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</row>
    <row r="65" spans="2:38" x14ac:dyDescent="0.25">
      <c r="B65" s="16"/>
      <c r="C65" s="16"/>
      <c r="D65" s="16"/>
      <c r="E65" s="16"/>
      <c r="F65" s="16"/>
      <c r="G65" s="17"/>
      <c r="H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</row>
    <row r="66" spans="2:38" x14ac:dyDescent="0.25">
      <c r="B66" s="16"/>
      <c r="C66" s="16"/>
      <c r="D66" s="16"/>
      <c r="E66" s="16"/>
      <c r="F66" s="16"/>
      <c r="G66" s="17"/>
      <c r="H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Series_T</vt:lpstr>
      <vt:lpstr>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2018-11-29T16:38:17Z</dcterms:created>
  <dcterms:modified xsi:type="dcterms:W3CDTF">2018-12-05T15:40:11Z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320eab77-214b-4153-aecc-6f2be4b9d5f6</vt:lpwstr>
  </property>
</Properties>
</file>