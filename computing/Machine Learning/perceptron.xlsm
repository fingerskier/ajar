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19018106-032A-4044-9956-11710D18BEA9}" xr6:coauthVersionLast="40" xr6:coauthVersionMax="40" xr10:uidLastSave="{00000000-0000-0000-0000-000000000000}"/>
  <bookViews>
    <workbookView xWindow="14985" yWindow="0" windowWidth="27135" windowHeight="12810" xr2:uid="{FFE248C8-939E-460B-9DDF-5F88ADB0C23D}"/>
  </bookViews>
  <sheets>
    <sheet name="CtrlSimp" sheetId="7" r:id="rId1"/>
    <sheet name="CtrlNet" sheetId="6" r:id="rId2"/>
    <sheet name="RGB (3)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6" l="1"/>
  <c r="D15" i="6"/>
  <c r="E15" i="6"/>
  <c r="F15" i="6"/>
  <c r="G15" i="6"/>
  <c r="H15" i="6"/>
  <c r="I15" i="6"/>
  <c r="C16" i="6"/>
  <c r="D16" i="6"/>
  <c r="E16" i="6"/>
  <c r="F16" i="6"/>
  <c r="G16" i="6"/>
  <c r="H16" i="6"/>
  <c r="I16" i="6"/>
  <c r="C17" i="6"/>
  <c r="D17" i="6"/>
  <c r="E17" i="6"/>
  <c r="F17" i="6"/>
  <c r="G17" i="6"/>
  <c r="H17" i="6"/>
  <c r="I17" i="6"/>
  <c r="C11" i="6"/>
  <c r="D11" i="6"/>
  <c r="E11" i="6"/>
  <c r="F11" i="6"/>
  <c r="G11" i="6"/>
  <c r="H11" i="6"/>
  <c r="I11" i="6"/>
  <c r="C12" i="6"/>
  <c r="D12" i="6"/>
  <c r="E12" i="6"/>
  <c r="F12" i="6"/>
  <c r="G12" i="6"/>
  <c r="H12" i="6"/>
  <c r="I12" i="6"/>
  <c r="C13" i="6"/>
  <c r="D13" i="6"/>
  <c r="E13" i="6"/>
  <c r="F13" i="6"/>
  <c r="G13" i="6"/>
  <c r="H13" i="6"/>
  <c r="I13" i="6"/>
  <c r="C7" i="6"/>
  <c r="D7" i="6"/>
  <c r="E7" i="6"/>
  <c r="F7" i="6"/>
  <c r="G7" i="6"/>
  <c r="H7" i="6"/>
  <c r="I7" i="6"/>
  <c r="C8" i="6"/>
  <c r="D8" i="6"/>
  <c r="E8" i="6"/>
  <c r="F8" i="6"/>
  <c r="G8" i="6"/>
  <c r="H8" i="6"/>
  <c r="I8" i="6"/>
  <c r="C9" i="6"/>
  <c r="D9" i="6"/>
  <c r="E9" i="6"/>
  <c r="F9" i="6"/>
  <c r="G9" i="6"/>
  <c r="H9" i="6"/>
  <c r="I9" i="6"/>
  <c r="I22" i="6" l="1"/>
  <c r="O2" i="6"/>
  <c r="M2" i="6"/>
  <c r="M2" i="7"/>
  <c r="O2" i="7"/>
  <c r="I19" i="7"/>
  <c r="M3" i="6" l="1"/>
  <c r="M3" i="7"/>
  <c r="C4" i="6"/>
  <c r="P2" i="5" l="1"/>
  <c r="C3" i="6"/>
  <c r="C2" i="6"/>
  <c r="D19" i="5" l="1"/>
  <c r="C19" i="5"/>
  <c r="D18" i="5"/>
  <c r="C18" i="5"/>
  <c r="D17" i="5"/>
  <c r="C17" i="5"/>
  <c r="D14" i="5"/>
  <c r="C14" i="5"/>
  <c r="D13" i="5"/>
  <c r="C13" i="5"/>
  <c r="D12" i="5"/>
  <c r="C12" i="5"/>
  <c r="D9" i="5"/>
  <c r="C9" i="5"/>
  <c r="D8" i="5"/>
  <c r="C8" i="5"/>
  <c r="D7" i="5"/>
  <c r="C7" i="5"/>
  <c r="D2" i="6"/>
  <c r="Q2" i="5" l="1"/>
  <c r="D4" i="6"/>
  <c r="D3" i="6"/>
  <c r="U2" i="5" l="1"/>
  <c r="R2" i="5"/>
  <c r="S2" i="5"/>
  <c r="T2" i="5"/>
  <c r="V2" i="5"/>
  <c r="P5" i="5"/>
  <c r="P6" i="5"/>
  <c r="P9" i="5"/>
  <c r="P10" i="5"/>
  <c r="P11" i="5"/>
  <c r="P7" i="5"/>
  <c r="P8" i="5"/>
  <c r="P4" i="5"/>
  <c r="E2" i="6"/>
  <c r="E4" i="6"/>
  <c r="E3" i="6"/>
  <c r="F4" i="5" l="1"/>
  <c r="F3" i="5"/>
  <c r="F2" i="5"/>
  <c r="B4" i="5"/>
  <c r="I4" i="5" s="1"/>
  <c r="B3" i="5"/>
  <c r="I3" i="5" s="1"/>
  <c r="B2" i="5"/>
  <c r="F2" i="6"/>
  <c r="F4" i="6"/>
  <c r="C4" i="5"/>
  <c r="F3" i="6"/>
  <c r="I2" i="5" l="1"/>
  <c r="G2" i="6"/>
  <c r="C3" i="5"/>
  <c r="G3" i="6"/>
  <c r="C4" i="7"/>
  <c r="C2" i="7"/>
  <c r="C2" i="5"/>
  <c r="C3" i="7"/>
  <c r="G4" i="6"/>
  <c r="I18" i="6" l="1"/>
  <c r="D4" i="5"/>
  <c r="H2" i="6"/>
  <c r="D3" i="7"/>
  <c r="H4" i="6"/>
  <c r="D3" i="5"/>
  <c r="H3" i="6"/>
  <c r="D4" i="7"/>
  <c r="D2" i="7"/>
  <c r="D2" i="5"/>
  <c r="H2" i="5" l="1"/>
  <c r="H3" i="5"/>
  <c r="H4" i="5"/>
  <c r="E2" i="7"/>
  <c r="I2" i="6"/>
  <c r="I19" i="6" s="1"/>
  <c r="I4" i="6"/>
  <c r="I21" i="6" s="1"/>
  <c r="E4" i="7"/>
  <c r="I3" i="6"/>
  <c r="I20" i="6" s="1"/>
  <c r="E3" i="7"/>
  <c r="H22" i="6" l="1"/>
  <c r="I27" i="6"/>
  <c r="I33" i="6"/>
  <c r="I30" i="6"/>
  <c r="H13" i="5"/>
  <c r="K13" i="5" s="1"/>
  <c r="H8" i="5"/>
  <c r="K8" i="5" s="1"/>
  <c r="G18" i="5"/>
  <c r="J18" i="5" s="1"/>
  <c r="H18" i="5"/>
  <c r="K18" i="5" s="1"/>
  <c r="G8" i="5"/>
  <c r="J8" i="5" s="1"/>
  <c r="G13" i="5"/>
  <c r="J13" i="5" s="1"/>
  <c r="H14" i="5"/>
  <c r="K14" i="5" s="1"/>
  <c r="H19" i="5"/>
  <c r="K19" i="5" s="1"/>
  <c r="G9" i="5"/>
  <c r="J9" i="5" s="1"/>
  <c r="G19" i="5"/>
  <c r="J19" i="5" s="1"/>
  <c r="G14" i="5"/>
  <c r="J14" i="5" s="1"/>
  <c r="H9" i="5"/>
  <c r="K9" i="5" s="1"/>
  <c r="H12" i="5"/>
  <c r="K12" i="5" s="1"/>
  <c r="H7" i="5"/>
  <c r="K7" i="5" s="1"/>
  <c r="G17" i="5"/>
  <c r="J17" i="5" s="1"/>
  <c r="G7" i="5"/>
  <c r="J7" i="5" s="1"/>
  <c r="H17" i="5"/>
  <c r="K17" i="5" s="1"/>
  <c r="G12" i="5"/>
  <c r="J12" i="5" s="1"/>
  <c r="I31" i="6"/>
  <c r="H23" i="6"/>
  <c r="I34" i="6"/>
  <c r="I28" i="6"/>
  <c r="I32" i="6"/>
  <c r="I35" i="6"/>
  <c r="H24" i="6"/>
  <c r="I29" i="6"/>
  <c r="H18" i="6"/>
  <c r="H20" i="6"/>
  <c r="H19" i="6"/>
  <c r="F2" i="7"/>
  <c r="F4" i="7"/>
  <c r="F3" i="7"/>
  <c r="J4" i="5"/>
  <c r="H21" i="6"/>
  <c r="H30" i="6" l="1"/>
  <c r="H33" i="6"/>
  <c r="H27" i="6"/>
  <c r="H28" i="6"/>
  <c r="H34" i="6"/>
  <c r="H31" i="6"/>
  <c r="H29" i="6"/>
  <c r="H35" i="6"/>
  <c r="H32" i="6"/>
  <c r="G22" i="6"/>
  <c r="G23" i="6"/>
  <c r="G24" i="6"/>
  <c r="G2" i="7"/>
  <c r="G4" i="7"/>
  <c r="J3" i="5"/>
  <c r="G3" i="7"/>
  <c r="J2" i="5"/>
  <c r="G18" i="6" l="1"/>
  <c r="K2" i="5"/>
  <c r="K4" i="5"/>
  <c r="H4" i="7"/>
  <c r="K3" i="5"/>
  <c r="H3" i="7"/>
  <c r="H2" i="7"/>
  <c r="F18" i="6" l="1"/>
  <c r="I4" i="7"/>
  <c r="I3" i="7"/>
  <c r="G19" i="6"/>
  <c r="I2" i="7"/>
  <c r="G20" i="6"/>
  <c r="G21" i="6"/>
  <c r="I22" i="7" l="1"/>
  <c r="I23" i="7"/>
  <c r="I24" i="7"/>
  <c r="G29" i="6"/>
  <c r="G35" i="6"/>
  <c r="F24" i="6"/>
  <c r="G32" i="6"/>
  <c r="G27" i="6"/>
  <c r="G33" i="6"/>
  <c r="G30" i="6"/>
  <c r="F22" i="6"/>
  <c r="G28" i="6"/>
  <c r="G34" i="6"/>
  <c r="G31" i="6"/>
  <c r="F23" i="6"/>
  <c r="F19" i="6"/>
  <c r="F21" i="6"/>
  <c r="F20" i="6"/>
  <c r="I28" i="7" l="1"/>
  <c r="I32" i="7"/>
  <c r="I36" i="7"/>
  <c r="I37" i="7"/>
  <c r="I29" i="7"/>
  <c r="I33" i="7"/>
  <c r="I35" i="7"/>
  <c r="I31" i="7"/>
  <c r="I27" i="7"/>
  <c r="F30" i="6"/>
  <c r="F27" i="6"/>
  <c r="E22" i="6"/>
  <c r="F33" i="6"/>
  <c r="F31" i="6"/>
  <c r="E23" i="6"/>
  <c r="F34" i="6"/>
  <c r="F28" i="6"/>
  <c r="E24" i="6"/>
  <c r="F29" i="6"/>
  <c r="F35" i="6"/>
  <c r="F32" i="6"/>
  <c r="H20" i="7"/>
  <c r="H21" i="7"/>
  <c r="H19" i="7"/>
  <c r="H22" i="7" l="1"/>
  <c r="H24" i="7"/>
  <c r="H23" i="7"/>
  <c r="E18" i="6"/>
  <c r="H28" i="7" l="1"/>
  <c r="H29" i="7"/>
  <c r="H32" i="7"/>
  <c r="H35" i="7"/>
  <c r="H33" i="7"/>
  <c r="H27" i="7"/>
  <c r="H37" i="7"/>
  <c r="H36" i="7"/>
  <c r="H31" i="7"/>
  <c r="D18" i="6"/>
  <c r="G20" i="7"/>
  <c r="G19" i="7"/>
  <c r="E19" i="6"/>
  <c r="E20" i="6"/>
  <c r="G21" i="7"/>
  <c r="E21" i="6"/>
  <c r="G24" i="7" l="1"/>
  <c r="G22" i="7"/>
  <c r="G23" i="7"/>
  <c r="E35" i="6"/>
  <c r="E29" i="6"/>
  <c r="D24" i="6"/>
  <c r="E32" i="6"/>
  <c r="E28" i="6"/>
  <c r="E34" i="6"/>
  <c r="D23" i="6"/>
  <c r="E31" i="6"/>
  <c r="D22" i="6"/>
  <c r="E33" i="6"/>
  <c r="E27" i="6"/>
  <c r="E30" i="6"/>
  <c r="D21" i="6"/>
  <c r="D19" i="6"/>
  <c r="D20" i="6"/>
  <c r="G28" i="7" l="1"/>
  <c r="G36" i="7"/>
  <c r="G33" i="7"/>
  <c r="G32" i="7"/>
  <c r="G27" i="7"/>
  <c r="G31" i="7"/>
  <c r="G35" i="7"/>
  <c r="G37" i="7"/>
  <c r="G29" i="7"/>
  <c r="D31" i="6"/>
  <c r="D28" i="6"/>
  <c r="D34" i="6"/>
  <c r="C23" i="6"/>
  <c r="D27" i="6"/>
  <c r="D30" i="6"/>
  <c r="D33" i="6"/>
  <c r="C22" i="6"/>
  <c r="D32" i="6"/>
  <c r="D29" i="6"/>
  <c r="C24" i="6"/>
  <c r="D35" i="6"/>
  <c r="F20" i="7"/>
  <c r="F19" i="7"/>
  <c r="F21" i="7"/>
  <c r="F24" i="7" l="1"/>
  <c r="F22" i="7"/>
  <c r="F23" i="7"/>
  <c r="C18" i="6"/>
  <c r="C21" i="6"/>
  <c r="F28" i="7" l="1"/>
  <c r="F33" i="7"/>
  <c r="F32" i="7"/>
  <c r="F27" i="7"/>
  <c r="F35" i="7"/>
  <c r="F37" i="7"/>
  <c r="F36" i="7"/>
  <c r="F31" i="7"/>
  <c r="F29" i="7"/>
  <c r="C32" i="6"/>
  <c r="C29" i="6"/>
  <c r="C35" i="6"/>
  <c r="E20" i="7"/>
  <c r="E21" i="7"/>
  <c r="E19" i="7"/>
  <c r="C20" i="6"/>
  <c r="C19" i="6"/>
  <c r="C30" i="6" l="1"/>
  <c r="C33" i="6"/>
  <c r="C27" i="6"/>
  <c r="C34" i="6"/>
  <c r="C28" i="6"/>
  <c r="C31" i="6"/>
  <c r="E22" i="7"/>
  <c r="E24" i="7"/>
  <c r="E23" i="7"/>
  <c r="E29" i="7" l="1"/>
  <c r="E32" i="7"/>
  <c r="E31" i="7"/>
  <c r="E35" i="7"/>
  <c r="E37" i="7"/>
  <c r="E33" i="7"/>
  <c r="E27" i="7"/>
  <c r="E36" i="7"/>
  <c r="E28" i="7"/>
  <c r="D19" i="7"/>
  <c r="D20" i="7"/>
  <c r="D21" i="7"/>
  <c r="D24" i="7" l="1"/>
  <c r="D23" i="7"/>
  <c r="D22" i="7"/>
  <c r="D28" i="7" l="1"/>
  <c r="D35" i="7"/>
  <c r="D32" i="7"/>
  <c r="D31" i="7"/>
  <c r="D37" i="7"/>
  <c r="D33" i="7"/>
  <c r="D36" i="7"/>
  <c r="D27" i="7"/>
  <c r="D29" i="7"/>
  <c r="C20" i="7"/>
  <c r="C19" i="7"/>
  <c r="C21" i="7"/>
  <c r="C24" i="7" l="1"/>
  <c r="C29" i="7" s="1"/>
  <c r="C22" i="7"/>
  <c r="C23" i="7"/>
  <c r="C28" i="7" s="1"/>
  <c r="C32" i="7" l="1"/>
  <c r="C27" i="7"/>
  <c r="C33" i="7"/>
  <c r="C31" i="7"/>
  <c r="C36" i="7"/>
  <c r="C37" i="7"/>
  <c r="C35" i="7"/>
</calcChain>
</file>

<file path=xl/sharedStrings.xml><?xml version="1.0" encoding="utf-8"?>
<sst xmlns="http://schemas.openxmlformats.org/spreadsheetml/2006/main" count="85" uniqueCount="46">
  <si>
    <t>bias</t>
  </si>
  <si>
    <t>rand?</t>
  </si>
  <si>
    <t>in</t>
  </si>
  <si>
    <t>thru</t>
  </si>
  <si>
    <t>out</t>
  </si>
  <si>
    <t>expected</t>
  </si>
  <si>
    <t>delta2</t>
  </si>
  <si>
    <t>delta1</t>
  </si>
  <si>
    <t>error2</t>
  </si>
  <si>
    <t>learning rate</t>
  </si>
  <si>
    <t>y</t>
  </si>
  <si>
    <t>PV</t>
  </si>
  <si>
    <t>CV</t>
  </si>
  <si>
    <t>SP</t>
  </si>
  <si>
    <t>next PV</t>
  </si>
  <si>
    <t>train wt</t>
  </si>
  <si>
    <t>cost</t>
  </si>
  <si>
    <t>cost'</t>
  </si>
  <si>
    <t>The expected outputs are external</t>
  </si>
  <si>
    <t>The expected Z-weights are based on the expected outputs</t>
  </si>
  <si>
    <t>error</t>
  </si>
  <si>
    <t>Y1</t>
  </si>
  <si>
    <t>Y2</t>
  </si>
  <si>
    <t>Y3</t>
  </si>
  <si>
    <t>Y4</t>
  </si>
  <si>
    <t>Y5</t>
  </si>
  <si>
    <t>Y6</t>
  </si>
  <si>
    <t>Y7</t>
  </si>
  <si>
    <t>Z1</t>
  </si>
  <si>
    <t>Z2</t>
  </si>
  <si>
    <t>Z3</t>
  </si>
  <si>
    <t>Z4</t>
  </si>
  <si>
    <t>Z5</t>
  </si>
  <si>
    <t>Z6</t>
  </si>
  <si>
    <t>Z7</t>
  </si>
  <si>
    <t>Z'1</t>
  </si>
  <si>
    <t>Z'2</t>
  </si>
  <si>
    <t>Z'3</t>
  </si>
  <si>
    <t>Z'4</t>
  </si>
  <si>
    <t>Z'5</t>
  </si>
  <si>
    <t>Z'6</t>
  </si>
  <si>
    <t>Z'7</t>
  </si>
  <si>
    <t>pressure</t>
  </si>
  <si>
    <t>?Should be able to iterate on real-time PV which will automatically induce a rate-of-change…</t>
  </si>
  <si>
    <t>scalar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</si>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</sst>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"/>
    <numFmt numFmtId="165" formatCode="0.0###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165" fontId="0" fillId="0" borderId="0" xfId="0" applyNumberFormat="1"/>
    <xf numFmtId="164" fontId="5" fillId="0" borderId="0" xfId="0" applyNumberFormat="1" applyFont="1" applyAlignment="1">
      <alignment horizontal="center"/>
    </xf>
    <xf numFmtId="164" fontId="4" fillId="0" borderId="0" xfId="0" applyNumberFormat="1" applyFont="1"/>
    <xf numFmtId="164" fontId="4" fillId="0" borderId="1" xfId="0" applyNumberFormat="1" applyFont="1" applyBorder="1"/>
    <xf numFmtId="164" fontId="4" fillId="0" borderId="0" xfId="0" applyNumberFormat="1" applyFont="1" applyBorder="1"/>
    <xf numFmtId="164" fontId="4" fillId="0" borderId="3" xfId="0" applyNumberFormat="1" applyFont="1" applyBorder="1"/>
    <xf numFmtId="164" fontId="0" fillId="0" borderId="3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64" fontId="0" fillId="0" borderId="0" xfId="0" applyNumberFormat="1" applyBorder="1"/>
    <xf numFmtId="165" fontId="0" fillId="0" borderId="1" xfId="0" applyNumberFormat="1" applyBorder="1"/>
    <xf numFmtId="165" fontId="0" fillId="0" borderId="0" xfId="0" applyNumberFormat="1" applyBorder="1"/>
    <xf numFmtId="165" fontId="0" fillId="0" borderId="3" xfId="0" applyNumberFormat="1" applyBorder="1"/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C94F48D-59C5-4A29-921B-27D7F4F07EBD}">
      <tableStyleElement type="wholeTable" dxfId="1"/>
      <tableStyleElement type="headerRow" dxfId="0"/>
    </tableStyle>
  </tableStyles>
  <colors>
    <mruColors>
      <color rgb="FFFFFF00"/>
      <color rgb="FF00FF00"/>
      <color rgb="FF0000FF"/>
      <color rgb="FF00FFFF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N9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N9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5</xdr:row>
          <xdr:rowOff>0</xdr:rowOff>
        </xdr:from>
        <xdr:to>
          <xdr:col>12</xdr:col>
          <xdr:colOff>476250</xdr:colOff>
          <xdr:row>6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5</xdr:row>
          <xdr:rowOff>0</xdr:rowOff>
        </xdr:from>
        <xdr:to>
          <xdr:col>15</xdr:col>
          <xdr:colOff>447675</xdr:colOff>
          <xdr:row>6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7</xdr:row>
          <xdr:rowOff>142875</xdr:rowOff>
        </xdr:from>
        <xdr:to>
          <xdr:col>12</xdr:col>
          <xdr:colOff>619125</xdr:colOff>
          <xdr:row>9</xdr:row>
          <xdr:rowOff>85725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Train Continously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5</xdr:row>
          <xdr:rowOff>0</xdr:rowOff>
        </xdr:from>
        <xdr:to>
          <xdr:col>12</xdr:col>
          <xdr:colOff>476250</xdr:colOff>
          <xdr:row>6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5</xdr:row>
          <xdr:rowOff>0</xdr:rowOff>
        </xdr:from>
        <xdr:to>
          <xdr:col>15</xdr:col>
          <xdr:colOff>447675</xdr:colOff>
          <xdr:row>6</xdr:row>
          <xdr:rowOff>180975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7</xdr:row>
          <xdr:rowOff>142875</xdr:rowOff>
        </xdr:from>
        <xdr:to>
          <xdr:col>12</xdr:col>
          <xdr:colOff>619125</xdr:colOff>
          <xdr:row>9</xdr:row>
          <xdr:rowOff>85725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Train Continously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20</xdr:row>
          <xdr:rowOff>47625</xdr:rowOff>
        </xdr:from>
        <xdr:to>
          <xdr:col>10</xdr:col>
          <xdr:colOff>523875</xdr:colOff>
          <xdr:row>22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49C4F-A5ED-4B6B-9F80-E08D2D87E336}">
  <sheetPr codeName="Sheet2"/>
  <dimension ref="A1:P37"/>
  <sheetViews>
    <sheetView tabSelected="1" workbookViewId="0">
      <selection activeCell="B2" sqref="B2"/>
    </sheetView>
  </sheetViews>
  <sheetFormatPr defaultRowHeight="15" x14ac:dyDescent="0.25"/>
  <cols>
    <col min="1" max="1" width="4.7109375" style="14" customWidth="1"/>
    <col min="2" max="2" width="10.7109375" customWidth="1"/>
    <col min="3" max="9" width="10.85546875" style="11" customWidth="1"/>
    <col min="13" max="13" width="9.7109375" bestFit="1" customWidth="1"/>
  </cols>
  <sheetData>
    <row r="1" spans="1:15" s="1" customFormat="1" x14ac:dyDescent="0.25">
      <c r="A1" s="14"/>
      <c r="B1" s="16" t="s">
        <v>2</v>
      </c>
      <c r="C1" s="17" t="s">
        <v>21</v>
      </c>
      <c r="D1" s="17" t="s">
        <v>22</v>
      </c>
      <c r="E1" s="17" t="s">
        <v>23</v>
      </c>
      <c r="F1" s="17" t="s">
        <v>24</v>
      </c>
      <c r="G1" s="17" t="s">
        <v>25</v>
      </c>
      <c r="H1" s="17" t="s">
        <v>26</v>
      </c>
      <c r="I1" s="17" t="s">
        <v>27</v>
      </c>
    </row>
    <row r="2" spans="1:15" x14ac:dyDescent="0.25">
      <c r="A2" s="15" t="s">
        <v>11</v>
      </c>
      <c r="B2" s="18">
        <v>-0.14529744187145185</v>
      </c>
      <c r="C2" s="11">
        <f t="shared" ref="C2:I2" si="0">softsign((C7*B$2)+(C8*B$3)+(C9*B$4))</f>
        <v>-0.70183223823411878</v>
      </c>
      <c r="D2" s="11">
        <f t="shared" si="0"/>
        <v>0.79263088592495601</v>
      </c>
      <c r="E2" s="11">
        <f t="shared" si="0"/>
        <v>0.7668476085071213</v>
      </c>
      <c r="F2" s="11">
        <f t="shared" si="0"/>
        <v>0.83851455522404084</v>
      </c>
      <c r="G2" s="11">
        <f t="shared" si="0"/>
        <v>0.91133266652992473</v>
      </c>
      <c r="H2" s="11">
        <f t="shared" si="0"/>
        <v>0.86964324020436456</v>
      </c>
      <c r="I2" s="11">
        <f t="shared" si="0"/>
        <v>0.82560897742507522</v>
      </c>
      <c r="J2" t="s">
        <v>43</v>
      </c>
      <c r="L2" t="s">
        <v>42</v>
      </c>
      <c r="M2">
        <f>IF(B3&lt;B2,-1,1)</f>
        <v>-1</v>
      </c>
      <c r="N2" t="s">
        <v>44</v>
      </c>
      <c r="O2">
        <f>ABS(M4*(B2-B4))</f>
        <v>0.11452974418714519</v>
      </c>
    </row>
    <row r="3" spans="1:15" x14ac:dyDescent="0.25">
      <c r="A3" s="15" t="s">
        <v>12</v>
      </c>
      <c r="B3" s="18">
        <v>-0.82544216757796007</v>
      </c>
      <c r="C3" s="11">
        <f t="shared" ref="C3:I3" si="1">softsign((C11*B$2)+(C12*B$3)+(C13*B$4))</f>
        <v>0.21360792907450546</v>
      </c>
      <c r="D3" s="11">
        <f t="shared" si="1"/>
        <v>0.19482145385081739</v>
      </c>
      <c r="E3" s="11">
        <f t="shared" si="1"/>
        <v>0.77954282418358911</v>
      </c>
      <c r="F3" s="11">
        <f t="shared" si="1"/>
        <v>0.86921479564427451</v>
      </c>
      <c r="G3" s="11">
        <f t="shared" si="1"/>
        <v>0.63177017714256134</v>
      </c>
      <c r="H3" s="11">
        <f t="shared" si="1"/>
        <v>0.88272488070345112</v>
      </c>
      <c r="I3" s="11">
        <f t="shared" si="1"/>
        <v>0.81051738832800613</v>
      </c>
      <c r="L3" t="s">
        <v>14</v>
      </c>
      <c r="M3">
        <f>B2+(M2*O2)</f>
        <v>-0.25982718605859706</v>
      </c>
    </row>
    <row r="4" spans="1:15" x14ac:dyDescent="0.25">
      <c r="A4" s="15" t="s">
        <v>13</v>
      </c>
      <c r="B4" s="18">
        <v>1</v>
      </c>
      <c r="C4" s="11">
        <f t="shared" ref="C4:I4" si="2">softsign((C15*B$2)+(C16*B$3)+(C17*B$4))</f>
        <v>0.28026174141620702</v>
      </c>
      <c r="D4" s="11">
        <f t="shared" si="2"/>
        <v>0.30564482727841452</v>
      </c>
      <c r="E4" s="11">
        <f t="shared" si="2"/>
        <v>0.77035471238679243</v>
      </c>
      <c r="F4" s="11">
        <f t="shared" si="2"/>
        <v>0.8751970581031645</v>
      </c>
      <c r="G4" s="11">
        <f t="shared" si="2"/>
        <v>0.6547045412174789</v>
      </c>
      <c r="H4" s="11">
        <f t="shared" si="2"/>
        <v>0.88634722617811701</v>
      </c>
      <c r="I4" s="11">
        <f t="shared" si="2"/>
        <v>0.82176838667194518</v>
      </c>
      <c r="L4" t="s">
        <v>15</v>
      </c>
      <c r="M4">
        <v>0.1</v>
      </c>
    </row>
    <row r="6" spans="1:15" x14ac:dyDescent="0.25">
      <c r="B6" s="15"/>
      <c r="C6" s="19" t="s">
        <v>28</v>
      </c>
      <c r="D6" s="19" t="s">
        <v>29</v>
      </c>
      <c r="E6" s="19" t="s">
        <v>30</v>
      </c>
      <c r="F6" s="19" t="s">
        <v>31</v>
      </c>
      <c r="G6" s="19" t="s">
        <v>32</v>
      </c>
      <c r="H6" s="19" t="s">
        <v>33</v>
      </c>
      <c r="I6" s="19" t="s">
        <v>34</v>
      </c>
    </row>
    <row r="7" spans="1:15" x14ac:dyDescent="0.25">
      <c r="B7" s="15"/>
      <c r="C7" s="20">
        <v>6.6454910776040306</v>
      </c>
      <c r="D7" s="20">
        <v>-1.9988309248383014</v>
      </c>
      <c r="E7" s="20">
        <v>2.4350942649968426</v>
      </c>
      <c r="F7" s="20">
        <v>2.778444883200351</v>
      </c>
      <c r="G7" s="20">
        <v>0.97386839319989571</v>
      </c>
      <c r="H7" s="20">
        <v>3.0310946559670278</v>
      </c>
      <c r="I7" s="20">
        <v>7.6848258463941406</v>
      </c>
    </row>
    <row r="8" spans="1:15" x14ac:dyDescent="0.25">
      <c r="B8" s="15"/>
      <c r="C8" s="20">
        <v>-1.9163310654924519</v>
      </c>
      <c r="D8" s="20">
        <v>5.8321246526655299</v>
      </c>
      <c r="E8" s="20">
        <v>2.7050924146378024</v>
      </c>
      <c r="F8" s="20">
        <v>2.4299504065632767</v>
      </c>
      <c r="G8" s="20">
        <v>5.3973918140410921</v>
      </c>
      <c r="H8" s="20">
        <v>3.2833141610028145</v>
      </c>
      <c r="I8" s="20">
        <v>-0.69138297687713912</v>
      </c>
    </row>
    <row r="9" spans="1:15" x14ac:dyDescent="0.25">
      <c r="B9" s="15"/>
      <c r="C9" s="20">
        <v>-2.9700642518495353</v>
      </c>
      <c r="D9" s="20">
        <v>4.1878240402535569</v>
      </c>
      <c r="E9" s="20">
        <v>2.7217844067008183</v>
      </c>
      <c r="F9" s="20">
        <v>1.5156840482026979</v>
      </c>
      <c r="G9" s="20">
        <v>5.4502183069692531</v>
      </c>
      <c r="H9" s="20">
        <v>2.8022104005277786</v>
      </c>
      <c r="I9" s="20">
        <v>-1.5101483074837472</v>
      </c>
      <c r="N9" t="b">
        <v>0</v>
      </c>
    </row>
    <row r="10" spans="1:15" x14ac:dyDescent="0.25">
      <c r="B10" s="15"/>
      <c r="C10" s="20"/>
      <c r="D10" s="20"/>
      <c r="E10" s="20"/>
      <c r="F10" s="20"/>
      <c r="G10" s="20"/>
      <c r="H10" s="20"/>
      <c r="I10" s="20"/>
    </row>
    <row r="11" spans="1:15" x14ac:dyDescent="0.25">
      <c r="B11" s="15"/>
      <c r="C11" s="20">
        <v>6.65383349685239</v>
      </c>
      <c r="D11" s="20">
        <v>-1.8524278527193023</v>
      </c>
      <c r="E11" s="20">
        <v>2.5043882234211248</v>
      </c>
      <c r="F11" s="20">
        <v>3.1567246678466541</v>
      </c>
      <c r="G11" s="20">
        <v>0.36372373001616598</v>
      </c>
      <c r="H11" s="20">
        <v>3.3723075652180561</v>
      </c>
      <c r="I11" s="20">
        <v>7.0344009443094473</v>
      </c>
    </row>
    <row r="12" spans="1:15" x14ac:dyDescent="0.25">
      <c r="B12" s="15"/>
      <c r="C12" s="20">
        <v>6.6945329222346386</v>
      </c>
      <c r="D12" s="20">
        <v>-1.9823157418850883</v>
      </c>
      <c r="E12" s="20">
        <v>3.2781256846453033</v>
      </c>
      <c r="F12" s="20">
        <v>2.6086776316895324</v>
      </c>
      <c r="G12" s="20">
        <v>0.79460841107365443</v>
      </c>
      <c r="H12" s="20">
        <v>3.378220552082527</v>
      </c>
      <c r="I12" s="20">
        <v>-0.88600204841800334</v>
      </c>
    </row>
    <row r="13" spans="1:15" x14ac:dyDescent="0.25">
      <c r="B13" s="15"/>
      <c r="C13" s="20">
        <v>6.7643650709698155</v>
      </c>
      <c r="D13" s="20">
        <v>-2.2646496808586338</v>
      </c>
      <c r="E13" s="20">
        <v>2.9849145249262135</v>
      </c>
      <c r="F13" s="20">
        <v>2.8452115839433572</v>
      </c>
      <c r="G13" s="20">
        <v>0.82269731829250925</v>
      </c>
      <c r="H13" s="20">
        <v>3.5426740908431484</v>
      </c>
      <c r="I13" s="20">
        <v>-1.1934307805850948</v>
      </c>
    </row>
    <row r="14" spans="1:15" x14ac:dyDescent="0.25">
      <c r="B14" s="15"/>
      <c r="C14" s="20"/>
      <c r="D14" s="20"/>
      <c r="E14" s="20"/>
      <c r="F14" s="20"/>
      <c r="G14" s="20"/>
      <c r="H14" s="20"/>
      <c r="I14" s="20"/>
    </row>
    <row r="15" spans="1:15" x14ac:dyDescent="0.25">
      <c r="B15" s="15"/>
      <c r="C15" s="20">
        <v>7.3213558313276375</v>
      </c>
      <c r="D15" s="20">
        <v>-1.9277417927379967</v>
      </c>
      <c r="E15" s="20">
        <v>2.4436716653270834</v>
      </c>
      <c r="F15" s="20">
        <v>2.9829977648459081</v>
      </c>
      <c r="G15" s="20">
        <v>0.80095419634577669</v>
      </c>
      <c r="H15" s="20">
        <v>3.2158700138684622</v>
      </c>
      <c r="I15" s="20">
        <v>7.6546657886472724</v>
      </c>
    </row>
    <row r="16" spans="1:15" x14ac:dyDescent="0.25">
      <c r="B16" s="15"/>
      <c r="C16" s="20">
        <v>6.8875602055639211</v>
      </c>
      <c r="D16" s="20">
        <v>-1.5858979683883614</v>
      </c>
      <c r="E16" s="20">
        <v>2.5299414426813636</v>
      </c>
      <c r="F16" s="20">
        <v>3.3796683971809407</v>
      </c>
      <c r="G16" s="20">
        <v>0.31149690155081178</v>
      </c>
      <c r="H16" s="20">
        <v>3.7806764662737873</v>
      </c>
      <c r="I16" s="20">
        <v>-1.4238955746566202</v>
      </c>
    </row>
    <row r="17" spans="1:16" x14ac:dyDescent="0.25">
      <c r="B17" s="15"/>
      <c r="C17" s="20">
        <v>7.1384508736528511</v>
      </c>
      <c r="D17" s="20">
        <v>-2.0481062304084516</v>
      </c>
      <c r="E17" s="20">
        <v>3.0254896947821619</v>
      </c>
      <c r="F17" s="20">
        <v>2.7137247932867465</v>
      </c>
      <c r="G17" s="20">
        <v>1.0896986537074369</v>
      </c>
      <c r="H17" s="20">
        <v>3.7871790813359105</v>
      </c>
      <c r="I17" s="20">
        <v>-0.89044491897659994</v>
      </c>
    </row>
    <row r="18" spans="1:16" x14ac:dyDescent="0.25">
      <c r="B18" s="15"/>
    </row>
    <row r="19" spans="1:16" x14ac:dyDescent="0.25">
      <c r="B19" s="33" t="s">
        <v>5</v>
      </c>
      <c r="C19" s="11">
        <f t="shared" ref="C19:G19" si="3">softsign_der(C2+D22)</f>
        <v>0.32711328505142145</v>
      </c>
      <c r="D19" s="11">
        <f t="shared" si="3"/>
        <v>0.32654621327577021</v>
      </c>
      <c r="E19" s="11">
        <f t="shared" si="3"/>
        <v>0.34012070536337141</v>
      </c>
      <c r="F19" s="11">
        <f t="shared" si="3"/>
        <v>0.31685355957506528</v>
      </c>
      <c r="G19" s="11">
        <f t="shared" si="3"/>
        <v>0.29141180795016236</v>
      </c>
      <c r="H19" s="11">
        <f>softsign_der(H2+I22)</f>
        <v>0.28081370409107143</v>
      </c>
      <c r="I19" s="11">
        <f>B4</f>
        <v>1</v>
      </c>
      <c r="J19" t="s">
        <v>18</v>
      </c>
    </row>
    <row r="20" spans="1:16" x14ac:dyDescent="0.25">
      <c r="B20" s="33"/>
      <c r="C20" s="11">
        <f t="shared" ref="C20:G20" si="4">softsign_der(C3+D23)</f>
        <v>0.62033110592923479</v>
      </c>
      <c r="D20" s="11">
        <f t="shared" si="4"/>
        <v>0.75536505183343217</v>
      </c>
      <c r="E20" s="11">
        <f t="shared" si="4"/>
        <v>0.33725374620168697</v>
      </c>
      <c r="F20" s="11">
        <f t="shared" si="4"/>
        <v>0.29332905771891049</v>
      </c>
      <c r="G20" s="11">
        <f t="shared" si="4"/>
        <v>0.40348043230338382</v>
      </c>
      <c r="H20" s="11">
        <f>softsign_der(H3+I23)</f>
        <v>0.30806899453974745</v>
      </c>
      <c r="I20" s="11">
        <v>0</v>
      </c>
      <c r="J20" t="s">
        <v>19</v>
      </c>
    </row>
    <row r="21" spans="1:16" x14ac:dyDescent="0.25">
      <c r="B21" s="33"/>
      <c r="C21" s="11">
        <f t="shared" ref="C21:G21" si="5">softsign_der(C4+D24)</f>
        <v>0.58057504472761978</v>
      </c>
      <c r="D21" s="11">
        <f t="shared" si="5"/>
        <v>0.62716630496889847</v>
      </c>
      <c r="E21" s="11">
        <f t="shared" si="5"/>
        <v>0.34115243748202473</v>
      </c>
      <c r="F21" s="11">
        <f t="shared" si="5"/>
        <v>0.29251721610263953</v>
      </c>
      <c r="G21" s="11">
        <f t="shared" si="5"/>
        <v>0.39219637829351911</v>
      </c>
      <c r="H21" s="11">
        <f>softsign_der(H4+I24)</f>
        <v>0.30721675627191847</v>
      </c>
      <c r="I21" s="11">
        <v>0</v>
      </c>
    </row>
    <row r="22" spans="1:16" x14ac:dyDescent="0.25">
      <c r="B22" s="32" t="s">
        <v>45</v>
      </c>
      <c r="C22" s="11">
        <f t="shared" ref="C22:H22" si="6">$M$4*(C19-C2)</f>
        <v>0.10289455232855403</v>
      </c>
      <c r="D22" s="11">
        <f t="shared" si="6"/>
        <v>-4.6608467264918581E-2</v>
      </c>
      <c r="E22" s="11">
        <f t="shared" si="6"/>
        <v>-4.2672690314374991E-2</v>
      </c>
      <c r="F22" s="11">
        <f t="shared" si="6"/>
        <v>-5.2166099564897553E-2</v>
      </c>
      <c r="G22" s="11">
        <f t="shared" si="6"/>
        <v>-6.1992085857976248E-2</v>
      </c>
      <c r="H22" s="11">
        <f t="shared" si="6"/>
        <v>-5.8882953611329315E-2</v>
      </c>
      <c r="I22" s="11">
        <f>$M$4*(I19-I2)</f>
        <v>1.743910225749248E-2</v>
      </c>
    </row>
    <row r="23" spans="1:16" x14ac:dyDescent="0.25">
      <c r="B23" s="32"/>
      <c r="C23" s="11">
        <f t="shared" ref="C23:H23" si="7">$M$4*(C20-C3)</f>
        <v>4.0672317685472942E-2</v>
      </c>
      <c r="D23" s="11">
        <f t="shared" si="7"/>
        <v>5.6054359798261483E-2</v>
      </c>
      <c r="E23" s="11">
        <f t="shared" si="7"/>
        <v>-4.422890779819022E-2</v>
      </c>
      <c r="F23" s="11">
        <f t="shared" si="7"/>
        <v>-5.7588573792536402E-2</v>
      </c>
      <c r="G23" s="11">
        <f t="shared" si="7"/>
        <v>-2.2828974483917755E-2</v>
      </c>
      <c r="H23" s="11">
        <f t="shared" si="7"/>
        <v>-5.7465588616370369E-2</v>
      </c>
      <c r="I23" s="11">
        <f>$M$4*(I20-I3)</f>
        <v>-8.1051738832800618E-2</v>
      </c>
    </row>
    <row r="24" spans="1:16" x14ac:dyDescent="0.25">
      <c r="B24" s="32"/>
      <c r="C24" s="11">
        <f t="shared" ref="C24:H24" si="8">$M$4*(C21-C4)</f>
        <v>3.0031330331141276E-2</v>
      </c>
      <c r="D24" s="11">
        <f t="shared" si="8"/>
        <v>3.2152147769048393E-2</v>
      </c>
      <c r="E24" s="11">
        <f t="shared" si="8"/>
        <v>-4.2920227490476776E-2</v>
      </c>
      <c r="F24" s="11">
        <f t="shared" si="8"/>
        <v>-5.8267984200052504E-2</v>
      </c>
      <c r="G24" s="11">
        <f t="shared" si="8"/>
        <v>-2.6250816292395979E-2</v>
      </c>
      <c r="H24" s="11">
        <f t="shared" si="8"/>
        <v>-5.791304699061986E-2</v>
      </c>
      <c r="I24" s="11">
        <f>$M$4*(I21-I4)</f>
        <v>-8.2176838667194524E-2</v>
      </c>
    </row>
    <row r="25" spans="1:16" x14ac:dyDescent="0.25">
      <c r="B25" s="15"/>
    </row>
    <row r="26" spans="1:16" s="1" customFormat="1" x14ac:dyDescent="0.25">
      <c r="A26" s="14"/>
      <c r="B26" s="15"/>
      <c r="C26" s="19" t="s">
        <v>35</v>
      </c>
      <c r="D26" s="19" t="s">
        <v>36</v>
      </c>
      <c r="E26" s="19" t="s">
        <v>37</v>
      </c>
      <c r="F26" s="19" t="s">
        <v>38</v>
      </c>
      <c r="G26" s="19" t="s">
        <v>39</v>
      </c>
      <c r="H26" s="19" t="s">
        <v>40</v>
      </c>
      <c r="I26" s="19" t="s">
        <v>41</v>
      </c>
      <c r="L26"/>
      <c r="M26"/>
      <c r="N26"/>
      <c r="O26"/>
      <c r="P26"/>
    </row>
    <row r="27" spans="1:16" x14ac:dyDescent="0.25">
      <c r="B27" s="15"/>
      <c r="C27" s="20">
        <f t="shared" ref="C27:I27" si="9">C7+C$22</f>
        <v>6.7483856299325842</v>
      </c>
      <c r="D27" s="20">
        <f t="shared" si="9"/>
        <v>-2.0454393921032201</v>
      </c>
      <c r="E27" s="20">
        <f t="shared" si="9"/>
        <v>2.3924215746824675</v>
      </c>
      <c r="F27" s="20">
        <f t="shared" si="9"/>
        <v>2.7262787836354536</v>
      </c>
      <c r="G27" s="20">
        <f t="shared" si="9"/>
        <v>0.91187630734191949</v>
      </c>
      <c r="H27" s="20">
        <f t="shared" si="9"/>
        <v>2.9722117023556986</v>
      </c>
      <c r="I27" s="20">
        <f t="shared" si="9"/>
        <v>7.7022649486516332</v>
      </c>
      <c r="L27" s="1"/>
      <c r="M27" s="1"/>
      <c r="N27" s="1"/>
      <c r="O27" s="1"/>
      <c r="P27" s="1"/>
    </row>
    <row r="28" spans="1:16" x14ac:dyDescent="0.25">
      <c r="B28" s="15"/>
      <c r="C28" s="20">
        <f t="shared" ref="C28:I28" si="10">C8+C$23</f>
        <v>-1.8756587478069791</v>
      </c>
      <c r="D28" s="20">
        <f t="shared" si="10"/>
        <v>5.8881790124637918</v>
      </c>
      <c r="E28" s="20">
        <f t="shared" si="10"/>
        <v>2.660863506839612</v>
      </c>
      <c r="F28" s="20">
        <f t="shared" si="10"/>
        <v>2.3723618327707401</v>
      </c>
      <c r="G28" s="20">
        <f t="shared" si="10"/>
        <v>5.3745628395571741</v>
      </c>
      <c r="H28" s="20">
        <f t="shared" si="10"/>
        <v>3.2258485723864441</v>
      </c>
      <c r="I28" s="20">
        <f t="shared" si="10"/>
        <v>-0.77243471570993971</v>
      </c>
    </row>
    <row r="29" spans="1:16" x14ac:dyDescent="0.25">
      <c r="B29" s="15"/>
      <c r="C29" s="20">
        <f t="shared" ref="C29:I29" si="11">C9+C$24</f>
        <v>-2.940032921518394</v>
      </c>
      <c r="D29" s="20">
        <f t="shared" si="11"/>
        <v>4.2199761880226054</v>
      </c>
      <c r="E29" s="20">
        <f t="shared" si="11"/>
        <v>2.6788641792103416</v>
      </c>
      <c r="F29" s="20">
        <f t="shared" si="11"/>
        <v>1.4574160640026455</v>
      </c>
      <c r="G29" s="20">
        <f t="shared" si="11"/>
        <v>5.4239674906768576</v>
      </c>
      <c r="H29" s="20">
        <f t="shared" si="11"/>
        <v>2.7442973535371586</v>
      </c>
      <c r="I29" s="20">
        <f t="shared" si="11"/>
        <v>-1.5923251461509418</v>
      </c>
    </row>
    <row r="30" spans="1:16" x14ac:dyDescent="0.25">
      <c r="B30" s="15"/>
      <c r="C30" s="20"/>
      <c r="D30" s="20"/>
      <c r="E30" s="20"/>
      <c r="F30" s="20"/>
      <c r="G30" s="20"/>
      <c r="H30" s="20"/>
      <c r="I30" s="20"/>
    </row>
    <row r="31" spans="1:16" x14ac:dyDescent="0.25">
      <c r="B31" s="15"/>
      <c r="C31" s="20">
        <f t="shared" ref="C31:I31" si="12">C11+C$22</f>
        <v>6.7567280491809436</v>
      </c>
      <c r="D31" s="20">
        <f t="shared" si="12"/>
        <v>-1.8990363199842208</v>
      </c>
      <c r="E31" s="20">
        <f t="shared" si="12"/>
        <v>2.4617155331067497</v>
      </c>
      <c r="F31" s="20">
        <f t="shared" si="12"/>
        <v>3.1045585682817567</v>
      </c>
      <c r="G31" s="20">
        <f t="shared" si="12"/>
        <v>0.30173164415818976</v>
      </c>
      <c r="H31" s="20">
        <f t="shared" si="12"/>
        <v>3.313424611606727</v>
      </c>
      <c r="I31" s="20">
        <f t="shared" si="12"/>
        <v>7.05184004656694</v>
      </c>
    </row>
    <row r="32" spans="1:16" x14ac:dyDescent="0.25">
      <c r="B32" s="15"/>
      <c r="C32" s="20">
        <f t="shared" ref="C32:H33" si="13">C12+C$22</f>
        <v>6.7974274745631922</v>
      </c>
      <c r="D32" s="20">
        <f t="shared" si="13"/>
        <v>-2.028924209150007</v>
      </c>
      <c r="E32" s="20">
        <f t="shared" si="13"/>
        <v>3.2354529943309283</v>
      </c>
      <c r="F32" s="20">
        <f t="shared" si="13"/>
        <v>2.556511532124635</v>
      </c>
      <c r="G32" s="20">
        <f t="shared" si="13"/>
        <v>0.73261632521567821</v>
      </c>
      <c r="H32" s="20">
        <f t="shared" si="13"/>
        <v>3.3193375984711979</v>
      </c>
      <c r="I32" s="20">
        <f>I12+I$23</f>
        <v>-0.96705378725080393</v>
      </c>
    </row>
    <row r="33" spans="2:9" x14ac:dyDescent="0.25">
      <c r="B33" s="15"/>
      <c r="C33" s="20">
        <f t="shared" si="13"/>
        <v>6.8672596232983691</v>
      </c>
      <c r="D33" s="20">
        <f t="shared" si="13"/>
        <v>-2.3112581481235526</v>
      </c>
      <c r="E33" s="20">
        <f t="shared" si="13"/>
        <v>2.9422418346118384</v>
      </c>
      <c r="F33" s="20">
        <f t="shared" si="13"/>
        <v>2.7930454843784598</v>
      </c>
      <c r="G33" s="20">
        <f t="shared" si="13"/>
        <v>0.76070523243453303</v>
      </c>
      <c r="H33" s="20">
        <f t="shared" si="13"/>
        <v>3.4837911372318193</v>
      </c>
      <c r="I33" s="20">
        <f>I13+I$24</f>
        <v>-1.2756076192522894</v>
      </c>
    </row>
    <row r="34" spans="2:9" x14ac:dyDescent="0.25">
      <c r="B34" s="15"/>
      <c r="C34" s="20"/>
      <c r="D34" s="20"/>
      <c r="E34" s="20"/>
      <c r="F34" s="20"/>
      <c r="G34" s="20"/>
      <c r="H34" s="20"/>
      <c r="I34" s="20"/>
    </row>
    <row r="35" spans="2:9" x14ac:dyDescent="0.25">
      <c r="B35" s="15"/>
      <c r="C35" s="20">
        <f t="shared" ref="C35:I35" si="14">C15+C$22</f>
        <v>7.4242503836561911</v>
      </c>
      <c r="D35" s="20">
        <f t="shared" si="14"/>
        <v>-1.9743502600029152</v>
      </c>
      <c r="E35" s="20">
        <f t="shared" si="14"/>
        <v>2.4009989750127083</v>
      </c>
      <c r="F35" s="20">
        <f t="shared" si="14"/>
        <v>2.9308316652810107</v>
      </c>
      <c r="G35" s="20">
        <f t="shared" si="14"/>
        <v>0.73896211048780047</v>
      </c>
      <c r="H35" s="20">
        <f t="shared" si="14"/>
        <v>3.156987060257133</v>
      </c>
      <c r="I35" s="20">
        <f t="shared" si="14"/>
        <v>7.6721048909047651</v>
      </c>
    </row>
    <row r="36" spans="2:9" x14ac:dyDescent="0.25">
      <c r="B36" s="15"/>
      <c r="C36" s="20">
        <f t="shared" ref="C36:H37" si="15">C16+C$22</f>
        <v>6.9904547578924747</v>
      </c>
      <c r="D36" s="20">
        <f t="shared" si="15"/>
        <v>-1.6325064356532799</v>
      </c>
      <c r="E36" s="20">
        <f t="shared" si="15"/>
        <v>2.4872687523669885</v>
      </c>
      <c r="F36" s="20">
        <f t="shared" si="15"/>
        <v>3.3275022976160433</v>
      </c>
      <c r="G36" s="20">
        <f t="shared" si="15"/>
        <v>0.24950481569283553</v>
      </c>
      <c r="H36" s="20">
        <f t="shared" si="15"/>
        <v>3.7217935126624582</v>
      </c>
      <c r="I36" s="20">
        <f>I16+I$23</f>
        <v>-1.5049473134894209</v>
      </c>
    </row>
    <row r="37" spans="2:9" x14ac:dyDescent="0.25">
      <c r="B37" s="15"/>
      <c r="C37" s="20">
        <f t="shared" si="15"/>
        <v>7.2413454259814047</v>
      </c>
      <c r="D37" s="20">
        <f t="shared" si="15"/>
        <v>-2.0947146976733704</v>
      </c>
      <c r="E37" s="20">
        <f t="shared" si="15"/>
        <v>2.9828170044677869</v>
      </c>
      <c r="F37" s="20">
        <f t="shared" si="15"/>
        <v>2.6615586937218492</v>
      </c>
      <c r="G37" s="20">
        <f t="shared" si="15"/>
        <v>1.0277065678494606</v>
      </c>
      <c r="H37" s="20">
        <f t="shared" si="15"/>
        <v>3.7282961277245814</v>
      </c>
      <c r="I37" s="20">
        <f>I17+I$24</f>
        <v>-0.97262175764379444</v>
      </c>
    </row>
  </sheetData>
  <mergeCells count="2">
    <mergeCell ref="B22:B24"/>
    <mergeCell ref="B19:B2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rain_simp">
                <anchor moveWithCells="1">
                  <from>
                    <xdr:col>11</xdr:col>
                    <xdr:colOff>123825</xdr:colOff>
                    <xdr:row>5</xdr:row>
                    <xdr:rowOff>0</xdr:rowOff>
                  </from>
                  <to>
                    <xdr:col>12</xdr:col>
                    <xdr:colOff>476250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reset_pvcv">
                <anchor moveWithCells="1">
                  <from>
                    <xdr:col>14</xdr:col>
                    <xdr:colOff>114300</xdr:colOff>
                    <xdr:row>5</xdr:row>
                    <xdr:rowOff>0</xdr:rowOff>
                  </from>
                  <to>
                    <xdr:col>15</xdr:col>
                    <xdr:colOff>447675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 macro="[0]!train_pvcv">
                <anchor moveWithCells="1">
                  <from>
                    <xdr:col>11</xdr:col>
                    <xdr:colOff>66675</xdr:colOff>
                    <xdr:row>7</xdr:row>
                    <xdr:rowOff>142875</xdr:rowOff>
                  </from>
                  <to>
                    <xdr:col>12</xdr:col>
                    <xdr:colOff>619125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6DF1-CEC4-4A70-BB1B-0E6155A21223}">
  <sheetPr codeName="Sheet1"/>
  <dimension ref="A1:P35"/>
  <sheetViews>
    <sheetView workbookViewId="0">
      <selection activeCell="B2" sqref="B2"/>
    </sheetView>
  </sheetViews>
  <sheetFormatPr defaultRowHeight="15" x14ac:dyDescent="0.25"/>
  <cols>
    <col min="1" max="1" width="4.7109375" style="14" customWidth="1"/>
    <col min="2" max="2" width="10.7109375" customWidth="1"/>
    <col min="3" max="9" width="9.7109375" style="11" customWidth="1"/>
    <col min="13" max="13" width="9.7109375" bestFit="1" customWidth="1"/>
  </cols>
  <sheetData>
    <row r="1" spans="1:15" s="1" customFormat="1" x14ac:dyDescent="0.25">
      <c r="A1" s="14"/>
      <c r="B1" s="16" t="s">
        <v>2</v>
      </c>
      <c r="C1" s="17" t="s">
        <v>21</v>
      </c>
      <c r="D1" s="17" t="s">
        <v>22</v>
      </c>
      <c r="E1" s="17" t="s">
        <v>23</v>
      </c>
      <c r="F1" s="17" t="s">
        <v>24</v>
      </c>
      <c r="G1" s="17" t="s">
        <v>25</v>
      </c>
      <c r="H1" s="17" t="s">
        <v>26</v>
      </c>
      <c r="I1" s="17" t="s">
        <v>27</v>
      </c>
    </row>
    <row r="2" spans="1:15" x14ac:dyDescent="0.25">
      <c r="A2" s="15" t="s">
        <v>11</v>
      </c>
      <c r="B2" s="18">
        <v>3.4797680396555534E-3</v>
      </c>
      <c r="C2" s="11">
        <f t="shared" ref="C2:I2" ca="1" si="0">softsign((C7*B$2)+(C8*B$3)+(C9*B$4))</f>
        <v>0.1938731672445784</v>
      </c>
      <c r="D2" s="11">
        <f t="shared" ca="1" si="0"/>
        <v>0.28687662124739283</v>
      </c>
      <c r="E2" s="11">
        <f t="shared" ca="1" si="0"/>
        <v>0.16032275570852364</v>
      </c>
      <c r="F2" s="11">
        <f t="shared" ca="1" si="0"/>
        <v>8.9487138892160034E-2</v>
      </c>
      <c r="G2" s="11">
        <f t="shared" ca="1" si="0"/>
        <v>0.1398018175461784</v>
      </c>
      <c r="H2" s="11">
        <f t="shared" ca="1" si="0"/>
        <v>0.21244987789017586</v>
      </c>
      <c r="I2" s="11">
        <f t="shared" ca="1" si="0"/>
        <v>0.12900131110961055</v>
      </c>
      <c r="J2" t="s">
        <v>43</v>
      </c>
      <c r="L2" t="s">
        <v>42</v>
      </c>
      <c r="M2">
        <f>IF(B3&lt;B2,-1,1)</f>
        <v>-1</v>
      </c>
      <c r="N2" t="s">
        <v>44</v>
      </c>
      <c r="O2">
        <f>ABS(M4*(B2-B3))</f>
        <v>3.4797680396555537E-4</v>
      </c>
    </row>
    <row r="3" spans="1:15" x14ac:dyDescent="0.25">
      <c r="A3" s="15" t="s">
        <v>12</v>
      </c>
      <c r="B3" s="18">
        <v>0</v>
      </c>
      <c r="C3" s="11">
        <f t="shared" ref="C3:I3" ca="1" si="1">softsign((C10*B$2)+(C11*B$3)+(C12*B$4))</f>
        <v>0.4627455858206268</v>
      </c>
      <c r="D3" s="11">
        <f t="shared" ca="1" si="1"/>
        <v>0.12269424632322588</v>
      </c>
      <c r="E3" s="11">
        <f t="shared" ca="1" si="1"/>
        <v>9.8107618205951055E-2</v>
      </c>
      <c r="F3" s="11">
        <f t="shared" ca="1" si="1"/>
        <v>0.13671369265021807</v>
      </c>
      <c r="G3" s="11">
        <f t="shared" ca="1" si="1"/>
        <v>4.7718002496182951E-2</v>
      </c>
      <c r="H3" s="11">
        <f t="shared" ca="1" si="1"/>
        <v>8.6348821124490882E-2</v>
      </c>
      <c r="I3" s="11">
        <f t="shared" ca="1" si="1"/>
        <v>4.2338463579936397E-2</v>
      </c>
      <c r="L3" t="s">
        <v>14</v>
      </c>
      <c r="M3">
        <f>B2+(M2*O2)</f>
        <v>3.131791235689998E-3</v>
      </c>
    </row>
    <row r="4" spans="1:15" x14ac:dyDescent="0.25">
      <c r="A4" s="15" t="s">
        <v>13</v>
      </c>
      <c r="B4" s="18">
        <v>1</v>
      </c>
      <c r="C4" s="11">
        <f t="shared" ref="C4:I4" ca="1" si="2">softsign((C13*B$2)+(C14*B$3)+(C15*B$4))</f>
        <v>0.28642470705159462</v>
      </c>
      <c r="D4" s="11">
        <f t="shared" ca="1" si="2"/>
        <v>5.5074641578322668E-2</v>
      </c>
      <c r="E4" s="11">
        <f t="shared" ca="1" si="2"/>
        <v>0.11337312030134478</v>
      </c>
      <c r="F4" s="11">
        <f t="shared" ca="1" si="2"/>
        <v>0.11174881480908234</v>
      </c>
      <c r="G4" s="11">
        <f t="shared" ca="1" si="2"/>
        <v>0.12534422012159793</v>
      </c>
      <c r="H4" s="11">
        <f t="shared" ca="1" si="2"/>
        <v>7.3614272520412305E-2</v>
      </c>
      <c r="I4" s="11">
        <f t="shared" ca="1" si="2"/>
        <v>0.13036990913004809</v>
      </c>
      <c r="L4" t="s">
        <v>15</v>
      </c>
      <c r="M4">
        <v>0.1</v>
      </c>
    </row>
    <row r="6" spans="1:15" x14ac:dyDescent="0.25">
      <c r="B6" s="15"/>
      <c r="C6" s="19" t="s">
        <v>28</v>
      </c>
      <c r="D6" s="19" t="s">
        <v>29</v>
      </c>
      <c r="E6" s="19" t="s">
        <v>30</v>
      </c>
      <c r="F6" s="19" t="s">
        <v>31</v>
      </c>
      <c r="G6" s="19" t="s">
        <v>32</v>
      </c>
      <c r="H6" s="19" t="s">
        <v>33</v>
      </c>
      <c r="I6" s="19" t="s">
        <v>34</v>
      </c>
    </row>
    <row r="7" spans="1:15" x14ac:dyDescent="0.25">
      <c r="B7" s="15"/>
      <c r="C7" s="21">
        <f t="shared" ref="C7:I9" ca="1" si="3">RAND()</f>
        <v>0.47594406928630084</v>
      </c>
      <c r="D7" s="21">
        <f t="shared" ca="1" si="3"/>
        <v>8.9478896022666454E-2</v>
      </c>
      <c r="E7" s="21">
        <f t="shared" ca="1" si="3"/>
        <v>0.21185503342552203</v>
      </c>
      <c r="F7" s="21">
        <f t="shared" ca="1" si="3"/>
        <v>0.1023724097501324</v>
      </c>
      <c r="G7" s="21">
        <f t="shared" ca="1" si="3"/>
        <v>0.15766136297031785</v>
      </c>
      <c r="H7" s="21">
        <f t="shared" ca="1" si="3"/>
        <v>0.91654238964047763</v>
      </c>
      <c r="I7" s="21">
        <f t="shared" ca="1" si="3"/>
        <v>0.2460176245236757</v>
      </c>
    </row>
    <row r="8" spans="1:15" x14ac:dyDescent="0.25">
      <c r="B8" s="15"/>
      <c r="C8" s="22">
        <f t="shared" ca="1" si="3"/>
        <v>0.40591262958576557</v>
      </c>
      <c r="D8" s="22">
        <f t="shared" ca="1" si="3"/>
        <v>0.60451963090142513</v>
      </c>
      <c r="E8" s="22">
        <f t="shared" ca="1" si="3"/>
        <v>0.95883037914602076</v>
      </c>
      <c r="F8" s="22">
        <f t="shared" ca="1" si="3"/>
        <v>0.25654410456054377</v>
      </c>
      <c r="G8" s="22">
        <f t="shared" ca="1" si="3"/>
        <v>0.56981165629688879</v>
      </c>
      <c r="H8" s="22">
        <f t="shared" ca="1" si="3"/>
        <v>0.71829868685616538</v>
      </c>
      <c r="I8" s="22">
        <f t="shared" ca="1" si="3"/>
        <v>0.29548133323427239</v>
      </c>
    </row>
    <row r="9" spans="1:15" x14ac:dyDescent="0.25">
      <c r="B9" s="15"/>
      <c r="C9" s="23">
        <f t="shared" ca="1" si="3"/>
        <v>0.23884340819011285</v>
      </c>
      <c r="D9" s="23">
        <f t="shared" ca="1" si="3"/>
        <v>0.36727119062026314</v>
      </c>
      <c r="E9" s="23">
        <f t="shared" ca="1" si="3"/>
        <v>0.22722907055541497</v>
      </c>
      <c r="F9" s="23">
        <f t="shared" ca="1" si="3"/>
        <v>0.50012354793819558</v>
      </c>
      <c r="G9" s="23">
        <f t="shared" ca="1" si="3"/>
        <v>0.63099622691640644</v>
      </c>
      <c r="H9" s="23">
        <f t="shared" ca="1" si="3"/>
        <v>0.85644461846243713</v>
      </c>
      <c r="I9" s="23">
        <f t="shared" ca="1" si="3"/>
        <v>0.95533749732145035</v>
      </c>
      <c r="N9" t="b">
        <v>0</v>
      </c>
    </row>
    <row r="10" spans="1:15" x14ac:dyDescent="0.25">
      <c r="B10" s="15"/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</row>
    <row r="11" spans="1:15" x14ac:dyDescent="0.25">
      <c r="B11" s="15"/>
      <c r="C11" s="22">
        <f t="shared" ref="C11:I13" ca="1" si="4">RAND()</f>
        <v>0.67509769158166799</v>
      </c>
      <c r="D11" s="22">
        <f t="shared" ca="1" si="4"/>
        <v>6.6605221860542185E-2</v>
      </c>
      <c r="E11" s="22">
        <f t="shared" ca="1" si="4"/>
        <v>0.72490283241558606</v>
      </c>
      <c r="F11" s="22">
        <f t="shared" ca="1" si="4"/>
        <v>0.60024167012599317</v>
      </c>
      <c r="G11" s="22">
        <f t="shared" ca="1" si="4"/>
        <v>4.910244471007652E-2</v>
      </c>
      <c r="H11" s="22">
        <f t="shared" ca="1" si="4"/>
        <v>0.54691090987870217</v>
      </c>
      <c r="I11" s="22">
        <f t="shared" ca="1" si="4"/>
        <v>7.1350166248291713E-2</v>
      </c>
    </row>
    <row r="12" spans="1:15" x14ac:dyDescent="0.25">
      <c r="B12" s="15"/>
      <c r="C12" s="23">
        <f t="shared" ca="1" si="4"/>
        <v>0.861315558528161</v>
      </c>
      <c r="D12" s="23">
        <f t="shared" ca="1" si="4"/>
        <v>0.38066614460163739</v>
      </c>
      <c r="E12" s="23">
        <f t="shared" ca="1" si="4"/>
        <v>0.36020811198251745</v>
      </c>
      <c r="F12" s="23">
        <f t="shared" ca="1" si="4"/>
        <v>0.8774211543678393</v>
      </c>
      <c r="G12" s="23">
        <f t="shared" ca="1" si="4"/>
        <v>0.38833640095811794</v>
      </c>
      <c r="H12" s="23">
        <f t="shared" ca="1" si="4"/>
        <v>0.54579396427040971</v>
      </c>
      <c r="I12" s="23">
        <f t="shared" ca="1" si="4"/>
        <v>0.51687334441884303</v>
      </c>
    </row>
    <row r="13" spans="1:15" x14ac:dyDescent="0.25">
      <c r="B13" s="15"/>
      <c r="C13" s="21">
        <f t="shared" ca="1" si="4"/>
        <v>0.63469993128740443</v>
      </c>
      <c r="D13" s="21">
        <f t="shared" ca="1" si="4"/>
        <v>0.20331245714097412</v>
      </c>
      <c r="E13" s="21">
        <f t="shared" ca="1" si="4"/>
        <v>0.43536314563121137</v>
      </c>
      <c r="F13" s="21">
        <f t="shared" ca="1" si="4"/>
        <v>0.6072736093610861</v>
      </c>
      <c r="G13" s="21">
        <f t="shared" ca="1" si="4"/>
        <v>0.39167712580749692</v>
      </c>
      <c r="H13" s="21">
        <f t="shared" ca="1" si="4"/>
        <v>0.25505289006680065</v>
      </c>
      <c r="I13" s="21">
        <f t="shared" ca="1" si="4"/>
        <v>0.45545333372363739</v>
      </c>
    </row>
    <row r="14" spans="1:15" x14ac:dyDescent="0.25">
      <c r="B14" s="15"/>
      <c r="C14" s="22"/>
      <c r="D14" s="22"/>
      <c r="E14" s="22"/>
      <c r="F14" s="22"/>
      <c r="G14" s="22"/>
      <c r="H14" s="22"/>
      <c r="I14" s="22"/>
    </row>
    <row r="15" spans="1:15" x14ac:dyDescent="0.25">
      <c r="B15" s="15"/>
      <c r="C15" s="23">
        <f t="shared" ref="C15:I17" ca="1" si="5">RAND()</f>
        <v>0.39918520355685094</v>
      </c>
      <c r="D15" s="23">
        <f t="shared" ca="1" si="5"/>
        <v>6.587356881885853E-2</v>
      </c>
      <c r="E15" s="23">
        <f t="shared" ca="1" si="5"/>
        <v>5.401126415436841E-2</v>
      </c>
      <c r="F15" s="23">
        <f t="shared" ca="1" si="5"/>
        <v>0.25092274591627872</v>
      </c>
      <c r="G15" s="23">
        <f t="shared" ca="1" si="5"/>
        <v>0.96875164402879343</v>
      </c>
      <c r="H15" s="23">
        <f t="shared" ca="1" si="5"/>
        <v>0.34949434458566631</v>
      </c>
      <c r="I15" s="23">
        <f t="shared" ca="1" si="5"/>
        <v>0.72205028006923977</v>
      </c>
    </row>
    <row r="16" spans="1:15" x14ac:dyDescent="0.25">
      <c r="B16" s="15"/>
      <c r="C16" s="20">
        <f t="shared" ca="1" si="5"/>
        <v>0.86140703248524475</v>
      </c>
      <c r="D16" s="20">
        <f t="shared" ca="1" si="5"/>
        <v>0.95482373932962128</v>
      </c>
      <c r="E16" s="20">
        <f t="shared" ca="1" si="5"/>
        <v>0.91415594264501099</v>
      </c>
      <c r="F16" s="20">
        <f t="shared" ca="1" si="5"/>
        <v>0.36818731670413651</v>
      </c>
      <c r="G16" s="20">
        <f t="shared" ca="1" si="5"/>
        <v>0.56049649151085068</v>
      </c>
      <c r="H16" s="20">
        <f t="shared" ca="1" si="5"/>
        <v>0.46181815133671822</v>
      </c>
      <c r="I16" s="20">
        <f t="shared" ca="1" si="5"/>
        <v>0.73212875589624182</v>
      </c>
    </row>
    <row r="17" spans="1:16" x14ac:dyDescent="0.25">
      <c r="B17" s="31" t="s">
        <v>17</v>
      </c>
      <c r="C17" s="25">
        <f t="shared" ca="1" si="5"/>
        <v>0.53070615759403261</v>
      </c>
      <c r="D17" s="25">
        <f t="shared" ca="1" si="5"/>
        <v>0.14803150146913402</v>
      </c>
      <c r="E17" s="25">
        <f t="shared" ca="1" si="5"/>
        <v>0.26718387452383108</v>
      </c>
      <c r="F17" s="25">
        <f t="shared" ca="1" si="5"/>
        <v>0.78686941184475179</v>
      </c>
      <c r="G17" s="25">
        <f t="shared" ca="1" si="5"/>
        <v>0.48862480514493012</v>
      </c>
      <c r="H17" s="25">
        <f t="shared" ca="1" si="5"/>
        <v>0.84023144497038527</v>
      </c>
      <c r="I17" s="25">
        <f t="shared" ca="1" si="5"/>
        <v>0.84289526495499778</v>
      </c>
    </row>
    <row r="18" spans="1:16" x14ac:dyDescent="0.25">
      <c r="B18" s="31" t="s">
        <v>16</v>
      </c>
      <c r="C18" s="25">
        <f t="shared" ref="C18:H18" ca="1" si="6">0.5*(C17)^2</f>
        <v>0.1408245128541111</v>
      </c>
      <c r="D18" s="25">
        <f t="shared" ca="1" si="6"/>
        <v>1.0956662713603113E-2</v>
      </c>
      <c r="E18" s="25">
        <f t="shared" ca="1" si="6"/>
        <v>3.5693611402783154E-2</v>
      </c>
      <c r="F18" s="25">
        <f t="shared" ca="1" si="6"/>
        <v>0.30958173564845282</v>
      </c>
      <c r="G18" s="25">
        <f t="shared" ca="1" si="6"/>
        <v>0.11937710010146046</v>
      </c>
      <c r="H18" s="25">
        <f t="shared" ca="1" si="6"/>
        <v>0.35299444055851076</v>
      </c>
      <c r="I18" s="25">
        <f ca="1">0.5*(I17)^2</f>
        <v>0.35523621384177795</v>
      </c>
    </row>
    <row r="19" spans="1:16" x14ac:dyDescent="0.25">
      <c r="B19" s="34" t="s">
        <v>20</v>
      </c>
      <c r="C19" s="26">
        <f t="shared" ref="C19:H21" ca="1" si="7">(C$18-C$17)*softsign_der(C2)</f>
        <v>-0.27353720610595356</v>
      </c>
      <c r="D19" s="26">
        <f t="shared" ca="1" si="7"/>
        <v>-8.2772090035535775E-2</v>
      </c>
      <c r="E19" s="26">
        <f t="shared" ca="1" si="7"/>
        <v>-0.17193928228077221</v>
      </c>
      <c r="F19" s="26">
        <f t="shared" ca="1" si="7"/>
        <v>-0.40210178873573577</v>
      </c>
      <c r="G19" s="26">
        <f t="shared" ca="1" si="7"/>
        <v>-0.2842229314524935</v>
      </c>
      <c r="H19" s="26">
        <f t="shared" ca="1" si="7"/>
        <v>-0.33144591912828919</v>
      </c>
      <c r="I19" s="26">
        <f ca="1">(I$18-I$17)*softsign_der(I2)</f>
        <v>-0.38258452260411374</v>
      </c>
    </row>
    <row r="20" spans="1:16" x14ac:dyDescent="0.25">
      <c r="B20" s="35"/>
      <c r="C20" s="27">
        <f t="shared" ca="1" si="7"/>
        <v>-0.1822196453717759</v>
      </c>
      <c r="D20" s="27">
        <f t="shared" ca="1" si="7"/>
        <v>-0.10875137327892159</v>
      </c>
      <c r="E20" s="27">
        <f t="shared" ca="1" si="7"/>
        <v>-0.1919742234680788</v>
      </c>
      <c r="F20" s="27">
        <f t="shared" ca="1" si="7"/>
        <v>-0.36938396427911124</v>
      </c>
      <c r="G20" s="27">
        <f t="shared" ca="1" si="7"/>
        <v>-0.33637909066676969</v>
      </c>
      <c r="H20" s="27">
        <f t="shared" ca="1" si="7"/>
        <v>-0.41285891758167853</v>
      </c>
      <c r="I20" s="27">
        <f t="shared" ref="I20:I21" ca="1" si="8">(I$18-I$17)*softsign_der(I3)</f>
        <v>-0.44884744890263822</v>
      </c>
    </row>
    <row r="21" spans="1:16" x14ac:dyDescent="0.25">
      <c r="B21" s="36"/>
      <c r="C21" s="24">
        <f t="shared" ca="1" si="7"/>
        <v>-0.23559390158275584</v>
      </c>
      <c r="D21" s="24">
        <f t="shared" ca="1" si="7"/>
        <v>-0.12313779532244452</v>
      </c>
      <c r="E21" s="24">
        <f t="shared" ca="1" si="7"/>
        <v>-0.1867459811304682</v>
      </c>
      <c r="F21" s="24">
        <f t="shared" ca="1" si="7"/>
        <v>-0.38615963075405602</v>
      </c>
      <c r="G21" s="24">
        <f t="shared" ca="1" si="7"/>
        <v>-0.2915728187462398</v>
      </c>
      <c r="H21" s="24">
        <f t="shared" ca="1" si="7"/>
        <v>-0.42271115804012493</v>
      </c>
      <c r="I21" s="24">
        <f t="shared" ca="1" si="8"/>
        <v>-0.38165865322556963</v>
      </c>
    </row>
    <row r="22" spans="1:16" x14ac:dyDescent="0.25">
      <c r="B22" s="34" t="s">
        <v>5</v>
      </c>
      <c r="C22" s="26">
        <f t="shared" ref="C22:H24" ca="1" si="9">C2+D19</f>
        <v>0.11110107720904262</v>
      </c>
      <c r="D22" s="26">
        <f t="shared" ca="1" si="9"/>
        <v>0.11493733896662062</v>
      </c>
      <c r="E22" s="26">
        <f t="shared" ca="1" si="9"/>
        <v>-0.24177903302721213</v>
      </c>
      <c r="F22" s="26">
        <f t="shared" ca="1" si="9"/>
        <v>-0.19473579256033346</v>
      </c>
      <c r="G22" s="26">
        <f t="shared" ca="1" si="9"/>
        <v>-0.19164410158211079</v>
      </c>
      <c r="H22" s="26">
        <f t="shared" ca="1" si="9"/>
        <v>-0.17013464471393788</v>
      </c>
      <c r="I22" s="28">
        <f>B4</f>
        <v>1</v>
      </c>
      <c r="J22" t="s">
        <v>18</v>
      </c>
    </row>
    <row r="23" spans="1:16" x14ac:dyDescent="0.25">
      <c r="B23" s="35"/>
      <c r="C23" s="27">
        <f t="shared" ca="1" si="9"/>
        <v>0.35399421254170521</v>
      </c>
      <c r="D23" s="27">
        <f t="shared" ca="1" si="9"/>
        <v>-6.9279977144852914E-2</v>
      </c>
      <c r="E23" s="27">
        <f t="shared" ca="1" si="9"/>
        <v>-0.2712763460731602</v>
      </c>
      <c r="F23" s="27">
        <f t="shared" ca="1" si="9"/>
        <v>-0.19966539801655162</v>
      </c>
      <c r="G23" s="27">
        <f t="shared" ca="1" si="9"/>
        <v>-0.36514091508549557</v>
      </c>
      <c r="H23" s="27">
        <f t="shared" ca="1" si="9"/>
        <v>-0.36249862777814734</v>
      </c>
      <c r="I23" s="29">
        <v>1</v>
      </c>
      <c r="J23" t="s">
        <v>19</v>
      </c>
    </row>
    <row r="24" spans="1:16" x14ac:dyDescent="0.25">
      <c r="B24" s="36"/>
      <c r="C24" s="24">
        <f t="shared" ca="1" si="9"/>
        <v>0.16328691172915011</v>
      </c>
      <c r="D24" s="24">
        <f t="shared" ca="1" si="9"/>
        <v>-0.13167133955214552</v>
      </c>
      <c r="E24" s="24">
        <f t="shared" ca="1" si="9"/>
        <v>-0.27278651045271124</v>
      </c>
      <c r="F24" s="24">
        <f t="shared" ca="1" si="9"/>
        <v>-0.17982400393715747</v>
      </c>
      <c r="G24" s="24">
        <f t="shared" ca="1" si="9"/>
        <v>-0.29736693791852697</v>
      </c>
      <c r="H24" s="24">
        <f t="shared" ca="1" si="9"/>
        <v>-0.30804438070515733</v>
      </c>
      <c r="I24" s="30">
        <v>1</v>
      </c>
    </row>
    <row r="25" spans="1:16" x14ac:dyDescent="0.25">
      <c r="B25" s="15"/>
    </row>
    <row r="26" spans="1:16" x14ac:dyDescent="0.25">
      <c r="B26" s="15"/>
      <c r="C26" s="19" t="s">
        <v>35</v>
      </c>
      <c r="D26" s="19" t="s">
        <v>36</v>
      </c>
      <c r="E26" s="19" t="s">
        <v>37</v>
      </c>
      <c r="F26" s="19" t="s">
        <v>38</v>
      </c>
      <c r="G26" s="19" t="s">
        <v>39</v>
      </c>
      <c r="H26" s="19" t="s">
        <v>40</v>
      </c>
      <c r="I26" s="19" t="s">
        <v>41</v>
      </c>
      <c r="J26" s="1"/>
      <c r="K26" s="1"/>
    </row>
    <row r="27" spans="1:16" s="1" customFormat="1" x14ac:dyDescent="0.25">
      <c r="A27" s="14"/>
      <c r="B27" s="15"/>
      <c r="C27" s="21">
        <f t="shared" ref="C27:I27" ca="1" si="10">C7+C$19</f>
        <v>0.20240686318034729</v>
      </c>
      <c r="D27" s="21">
        <f t="shared" ca="1" si="10"/>
        <v>6.706805987130679E-3</v>
      </c>
      <c r="E27" s="21">
        <f t="shared" ca="1" si="10"/>
        <v>3.9915751144749823E-2</v>
      </c>
      <c r="F27" s="21">
        <f t="shared" ca="1" si="10"/>
        <v>-0.29972937898560337</v>
      </c>
      <c r="G27" s="21">
        <f t="shared" ca="1" si="10"/>
        <v>-0.12656156848217565</v>
      </c>
      <c r="H27" s="21">
        <f t="shared" ca="1" si="10"/>
        <v>0.58509647051218838</v>
      </c>
      <c r="I27" s="21">
        <f t="shared" ca="1" si="10"/>
        <v>-0.13656689808043804</v>
      </c>
      <c r="J27"/>
      <c r="K27"/>
      <c r="N27"/>
      <c r="O27"/>
      <c r="P27"/>
    </row>
    <row r="28" spans="1:16" x14ac:dyDescent="0.25">
      <c r="B28" s="15"/>
      <c r="C28" s="22">
        <f t="shared" ref="C28:I28" ca="1" si="11">C8+C$20</f>
        <v>0.22369298421398967</v>
      </c>
      <c r="D28" s="22">
        <f t="shared" ca="1" si="11"/>
        <v>0.49576825762250354</v>
      </c>
      <c r="E28" s="22">
        <f t="shared" ca="1" si="11"/>
        <v>0.76685615567794196</v>
      </c>
      <c r="F28" s="22">
        <f t="shared" ca="1" si="11"/>
        <v>-0.11283985971856747</v>
      </c>
      <c r="G28" s="22">
        <f t="shared" ca="1" si="11"/>
        <v>0.2334325656301191</v>
      </c>
      <c r="H28" s="22">
        <f t="shared" ca="1" si="11"/>
        <v>0.30543976927448685</v>
      </c>
      <c r="I28" s="22">
        <f t="shared" ca="1" si="11"/>
        <v>-0.15336611566836583</v>
      </c>
      <c r="N28" s="1"/>
      <c r="O28" s="1"/>
      <c r="P28" s="1"/>
    </row>
    <row r="29" spans="1:16" x14ac:dyDescent="0.25">
      <c r="B29" s="15"/>
      <c r="C29" s="23">
        <f t="shared" ref="C29:I29" ca="1" si="12">C9+C$21</f>
        <v>3.2495066073570111E-3</v>
      </c>
      <c r="D29" s="23">
        <f t="shared" ca="1" si="12"/>
        <v>0.24413339529781863</v>
      </c>
      <c r="E29" s="23">
        <f t="shared" ca="1" si="12"/>
        <v>4.0483089424946772E-2</v>
      </c>
      <c r="F29" s="23">
        <f t="shared" ca="1" si="12"/>
        <v>0.11396391718413956</v>
      </c>
      <c r="G29" s="23">
        <f t="shared" ca="1" si="12"/>
        <v>0.33942340817016664</v>
      </c>
      <c r="H29" s="23">
        <f t="shared" ca="1" si="12"/>
        <v>0.4337334604223122</v>
      </c>
      <c r="I29" s="23">
        <f t="shared" ca="1" si="12"/>
        <v>0.57367884409588066</v>
      </c>
    </row>
    <row r="30" spans="1:16" x14ac:dyDescent="0.25">
      <c r="B30" s="15"/>
      <c r="C30" s="21">
        <f t="shared" ref="C30:I30" ca="1" si="13">C10+C$19</f>
        <v>-0.27353720610595356</v>
      </c>
      <c r="D30" s="21">
        <f t="shared" ca="1" si="13"/>
        <v>-8.2772090035535775E-2</v>
      </c>
      <c r="E30" s="21">
        <f t="shared" ca="1" si="13"/>
        <v>-0.17193928228077221</v>
      </c>
      <c r="F30" s="21">
        <f t="shared" ca="1" si="13"/>
        <v>-0.40210178873573577</v>
      </c>
      <c r="G30" s="21">
        <f t="shared" ca="1" si="13"/>
        <v>-0.2842229314524935</v>
      </c>
      <c r="H30" s="21">
        <f t="shared" ca="1" si="13"/>
        <v>-0.33144591912828919</v>
      </c>
      <c r="I30" s="21">
        <f t="shared" ca="1" si="13"/>
        <v>-0.38258452260411374</v>
      </c>
    </row>
    <row r="31" spans="1:16" x14ac:dyDescent="0.25">
      <c r="B31" s="15"/>
      <c r="C31" s="22">
        <f t="shared" ref="C31:I31" ca="1" si="14">C11+C$20</f>
        <v>0.49287804620989206</v>
      </c>
      <c r="D31" s="22">
        <f t="shared" ca="1" si="14"/>
        <v>-4.2146151418379407E-2</v>
      </c>
      <c r="E31" s="22">
        <f t="shared" ca="1" si="14"/>
        <v>0.53292860894750727</v>
      </c>
      <c r="F31" s="22">
        <f t="shared" ca="1" si="14"/>
        <v>0.23085770584688192</v>
      </c>
      <c r="G31" s="22">
        <f t="shared" ca="1" si="14"/>
        <v>-0.28727664595669317</v>
      </c>
      <c r="H31" s="22">
        <f t="shared" ca="1" si="14"/>
        <v>0.13405199229702364</v>
      </c>
      <c r="I31" s="22">
        <f t="shared" ca="1" si="14"/>
        <v>-0.37749728265434651</v>
      </c>
    </row>
    <row r="32" spans="1:16" x14ac:dyDescent="0.25">
      <c r="B32" s="15"/>
      <c r="C32" s="23">
        <f t="shared" ref="C32:I32" ca="1" si="15">C12+C$21</f>
        <v>0.62572165694540516</v>
      </c>
      <c r="D32" s="23">
        <f t="shared" ca="1" si="15"/>
        <v>0.25752834927919288</v>
      </c>
      <c r="E32" s="23">
        <f t="shared" ca="1" si="15"/>
        <v>0.17346213085204926</v>
      </c>
      <c r="F32" s="23">
        <f t="shared" ca="1" si="15"/>
        <v>0.49126152361378328</v>
      </c>
      <c r="G32" s="23">
        <f t="shared" ca="1" si="15"/>
        <v>9.6763582211878141E-2</v>
      </c>
      <c r="H32" s="23">
        <f t="shared" ca="1" si="15"/>
        <v>0.12308280623028478</v>
      </c>
      <c r="I32" s="23">
        <f t="shared" ca="1" si="15"/>
        <v>0.1352146911932734</v>
      </c>
    </row>
    <row r="33" spans="2:9" x14ac:dyDescent="0.25">
      <c r="B33" s="15"/>
      <c r="C33" s="21">
        <f t="shared" ref="C33:H33" ca="1" si="16">C13+C$19</f>
        <v>0.36116272518145087</v>
      </c>
      <c r="D33" s="21">
        <f t="shared" ca="1" si="16"/>
        <v>0.12054036710543835</v>
      </c>
      <c r="E33" s="21">
        <f t="shared" ca="1" si="16"/>
        <v>0.26342386335043916</v>
      </c>
      <c r="F33" s="21">
        <f t="shared" ca="1" si="16"/>
        <v>0.20517182062535033</v>
      </c>
      <c r="G33" s="21">
        <f t="shared" ca="1" si="16"/>
        <v>0.10745419435500342</v>
      </c>
      <c r="H33" s="21">
        <f t="shared" ca="1" si="16"/>
        <v>-7.6393029061488538E-2</v>
      </c>
      <c r="I33" s="21">
        <f ca="1">I13+I$19</f>
        <v>7.2868811119523647E-2</v>
      </c>
    </row>
    <row r="34" spans="2:9" x14ac:dyDescent="0.25">
      <c r="B34" s="15"/>
      <c r="C34" s="22">
        <f t="shared" ref="C34:H34" ca="1" si="17">C14+C$20</f>
        <v>-0.1822196453717759</v>
      </c>
      <c r="D34" s="22">
        <f t="shared" ca="1" si="17"/>
        <v>-0.10875137327892159</v>
      </c>
      <c r="E34" s="22">
        <f t="shared" ca="1" si="17"/>
        <v>-0.1919742234680788</v>
      </c>
      <c r="F34" s="22">
        <f t="shared" ca="1" si="17"/>
        <v>-0.36938396427911124</v>
      </c>
      <c r="G34" s="22">
        <f t="shared" ca="1" si="17"/>
        <v>-0.33637909066676969</v>
      </c>
      <c r="H34" s="22">
        <f t="shared" ca="1" si="17"/>
        <v>-0.41285891758167853</v>
      </c>
      <c r="I34" s="22">
        <f ca="1">I14+I$20</f>
        <v>-0.44884744890263822</v>
      </c>
    </row>
    <row r="35" spans="2:9" x14ac:dyDescent="0.25">
      <c r="B35" s="15"/>
      <c r="C35" s="23">
        <f t="shared" ref="C35:H35" ca="1" si="18">C15+C$21</f>
        <v>0.1635913019740951</v>
      </c>
      <c r="D35" s="23">
        <f t="shared" ca="1" si="18"/>
        <v>-5.7264226503585994E-2</v>
      </c>
      <c r="E35" s="23">
        <f t="shared" ca="1" si="18"/>
        <v>-0.13273471697609979</v>
      </c>
      <c r="F35" s="23">
        <f t="shared" ca="1" si="18"/>
        <v>-0.13523688483777729</v>
      </c>
      <c r="G35" s="23">
        <f t="shared" ca="1" si="18"/>
        <v>0.67717882528255369</v>
      </c>
      <c r="H35" s="23">
        <f t="shared" ca="1" si="18"/>
        <v>-7.3216813454458629E-2</v>
      </c>
      <c r="I35" s="23">
        <f ca="1">I15+I$21</f>
        <v>0.34039162684367014</v>
      </c>
    </row>
  </sheetData>
  <mergeCells count="2">
    <mergeCell ref="B19:B21"/>
    <mergeCell ref="B22:B2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train_pvcv">
                <anchor moveWithCells="1">
                  <from>
                    <xdr:col>11</xdr:col>
                    <xdr:colOff>123825</xdr:colOff>
                    <xdr:row>5</xdr:row>
                    <xdr:rowOff>0</xdr:rowOff>
                  </from>
                  <to>
                    <xdr:col>12</xdr:col>
                    <xdr:colOff>476250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reset_pvcv">
                <anchor moveWithCells="1">
                  <from>
                    <xdr:col>14</xdr:col>
                    <xdr:colOff>114300</xdr:colOff>
                    <xdr:row>5</xdr:row>
                    <xdr:rowOff>0</xdr:rowOff>
                  </from>
                  <to>
                    <xdr:col>15</xdr:col>
                    <xdr:colOff>447675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Check Box 13">
              <controlPr defaultSize="0" autoFill="0" autoLine="0" autoPict="0" macro="[0]!train_pvcv">
                <anchor moveWithCells="1">
                  <from>
                    <xdr:col>11</xdr:col>
                    <xdr:colOff>66675</xdr:colOff>
                    <xdr:row>7</xdr:row>
                    <xdr:rowOff>142875</xdr:rowOff>
                  </from>
                  <to>
                    <xdr:col>12</xdr:col>
                    <xdr:colOff>619125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F4FB1-D0F8-45A6-AAE1-393F0B1F4734}">
  <sheetPr codeName="Sheet4"/>
  <dimension ref="A1:Y19"/>
  <sheetViews>
    <sheetView workbookViewId="0">
      <pane ySplit="1" topLeftCell="A2" activePane="bottomLeft" state="frozenSplit"/>
      <selection pane="bottomLeft" activeCell="K9" sqref="K9"/>
    </sheetView>
  </sheetViews>
  <sheetFormatPr defaultColWidth="6.7109375" defaultRowHeight="15" x14ac:dyDescent="0.25"/>
  <cols>
    <col min="2" max="2" width="11" customWidth="1"/>
    <col min="3" max="3" width="14.42578125" bestFit="1" customWidth="1"/>
    <col min="4" max="4" width="21.7109375" bestFit="1" customWidth="1"/>
    <col min="5" max="11" width="9.7109375" customWidth="1"/>
    <col min="12" max="12" width="10" bestFit="1" customWidth="1"/>
    <col min="25" max="25" width="10.7109375" customWidth="1"/>
  </cols>
  <sheetData>
    <row r="1" spans="1:25" s="2" customFormat="1" ht="30" x14ac:dyDescent="0.25">
      <c r="B1" s="13" t="s">
        <v>2</v>
      </c>
      <c r="C1" s="13" t="s">
        <v>3</v>
      </c>
      <c r="D1" s="13" t="s">
        <v>4</v>
      </c>
      <c r="E1" s="2" t="s">
        <v>0</v>
      </c>
      <c r="F1" s="2" t="s">
        <v>5</v>
      </c>
      <c r="H1" s="2" t="s">
        <v>8</v>
      </c>
      <c r="I1" s="12" t="s">
        <v>2</v>
      </c>
      <c r="J1" s="12" t="s">
        <v>3</v>
      </c>
      <c r="K1" s="12" t="s">
        <v>4</v>
      </c>
      <c r="L1" s="12" t="s">
        <v>0</v>
      </c>
      <c r="P1" s="2">
        <v>5</v>
      </c>
      <c r="X1" s="2" t="s">
        <v>1</v>
      </c>
      <c r="Y1" s="2" t="s">
        <v>9</v>
      </c>
    </row>
    <row r="2" spans="1:25" x14ac:dyDescent="0.25">
      <c r="A2" s="11">
        <v>0</v>
      </c>
      <c r="B2" s="11">
        <f ca="1">Q2</f>
        <v>1</v>
      </c>
      <c r="C2" s="11">
        <f ca="1">softsign(SUM((C7*B$2),(C8*B$3),(C9*B$4),$E$2))</f>
        <v>0.99561452163640507</v>
      </c>
      <c r="D2" s="11">
        <f ca="1">softsign(SUM((D7*C$2),(D8*C$3),(D9*C$4),$E$2))</f>
        <v>0.49376224418814296</v>
      </c>
      <c r="E2" s="11">
        <v>9.9999999999999995E-8</v>
      </c>
      <c r="F2" s="11">
        <f ca="1">T2</f>
        <v>1</v>
      </c>
      <c r="G2" s="11"/>
      <c r="H2" s="11">
        <f ca="1">F2-D2</f>
        <v>0.50623775581185704</v>
      </c>
      <c r="I2" s="11">
        <f ca="1">B2</f>
        <v>1</v>
      </c>
      <c r="J2" s="11">
        <f ca="1">softsign((J7*I$2)+(J8*I$3)+(J9*I$4)+$E$2)</f>
        <v>0.99527685582754943</v>
      </c>
      <c r="K2" s="11">
        <f ca="1">softsign((K7*J$2)+(K8*J$3)+(K9*J$4)+$E$2)</f>
        <v>0.44969012301913691</v>
      </c>
      <c r="L2" s="11">
        <v>9.9999999999999995E-8</v>
      </c>
      <c r="P2" s="1">
        <f ca="1">IF(X2="y",RANDBETWEEN(1,8),P1)</f>
        <v>5</v>
      </c>
      <c r="Q2" s="2">
        <f ca="1">OFFSET(Q2,$P$2+1,0)</f>
        <v>1</v>
      </c>
      <c r="R2" s="2">
        <f t="shared" ref="R2:V2" ca="1" si="0">OFFSET(R2,$P$2+1,0)</f>
        <v>255</v>
      </c>
      <c r="S2" s="2">
        <f t="shared" ca="1" si="0"/>
        <v>1</v>
      </c>
      <c r="T2" s="2">
        <f t="shared" ca="1" si="0"/>
        <v>1</v>
      </c>
      <c r="U2" s="2">
        <f t="shared" ca="1" si="0"/>
        <v>0</v>
      </c>
      <c r="V2" s="2">
        <f t="shared" ca="1" si="0"/>
        <v>0</v>
      </c>
      <c r="W2" s="1"/>
      <c r="X2" t="s">
        <v>10</v>
      </c>
      <c r="Y2" s="1">
        <v>0.1</v>
      </c>
    </row>
    <row r="3" spans="1:25" x14ac:dyDescent="0.25">
      <c r="A3" s="11">
        <v>1</v>
      </c>
      <c r="B3" s="11">
        <f ca="1">R2</f>
        <v>255</v>
      </c>
      <c r="C3" s="11">
        <f ca="1">softsign(SUM((C12*B$2),(C13*B$3),(C14*B$4),$E$2))</f>
        <v>0.99542164019986434</v>
      </c>
      <c r="D3" s="11">
        <f ca="1">softsign(SUM((D12*C$2),(D13*C$3),(D14*C$4),$E$2))</f>
        <v>0.63949801929145134</v>
      </c>
      <c r="E3" s="11"/>
      <c r="F3" s="11">
        <f ca="1">U2</f>
        <v>0</v>
      </c>
      <c r="G3" s="11"/>
      <c r="H3" s="11">
        <f ca="1">F3-D3</f>
        <v>-0.63949801929145134</v>
      </c>
      <c r="I3" s="11">
        <f ca="1">B3</f>
        <v>255</v>
      </c>
      <c r="J3" s="11">
        <f ca="1">softsign((J12*I$2)+(J13*I$3)+(J14*I$4)+$E$2)</f>
        <v>0.9950523683602448</v>
      </c>
      <c r="K3" s="11">
        <f ca="1">softsign((K12*J$2)+(K13*J$3)+(K14*J$4)+$E$2)</f>
        <v>0.6123341557685914</v>
      </c>
      <c r="L3" s="11"/>
      <c r="P3" s="1"/>
      <c r="Q3" s="2"/>
      <c r="R3" s="2"/>
      <c r="S3" s="2"/>
      <c r="T3" s="2"/>
      <c r="U3" s="2"/>
      <c r="V3" s="2"/>
      <c r="W3" s="1"/>
    </row>
    <row r="4" spans="1:25" x14ac:dyDescent="0.25">
      <c r="A4" s="11">
        <v>2</v>
      </c>
      <c r="B4" s="11">
        <f ca="1">S2</f>
        <v>1</v>
      </c>
      <c r="C4" s="11">
        <f ca="1">softsign(SUM((C17*B$2),(C18*B$3),(C19*B$4),$E$2))</f>
        <v>0.94548359382849689</v>
      </c>
      <c r="D4" s="11">
        <f ca="1">softsign(SUM((D17*C$2),(D18*C$3),(D19*C$4),$E$2))</f>
        <v>0.453500879799342</v>
      </c>
      <c r="E4" s="11"/>
      <c r="F4" s="11">
        <f ca="1">V2</f>
        <v>0</v>
      </c>
      <c r="G4" s="11"/>
      <c r="H4" s="11">
        <f ca="1">F4-D4</f>
        <v>-0.453500879799342</v>
      </c>
      <c r="I4" s="11">
        <f ca="1">B4</f>
        <v>1</v>
      </c>
      <c r="J4" s="11">
        <f ca="1">softsign((J17*I$2)+(J18*I$3)+(J19*I$4)+$E$2)</f>
        <v>0.51008639340890094</v>
      </c>
      <c r="K4" s="11">
        <f ca="1">softsign((K17*J$2)+(K18*J$3)+(K19*J$4)+$E$2)</f>
        <v>0.43899205072293412</v>
      </c>
      <c r="L4" s="11"/>
      <c r="O4">
        <v>1</v>
      </c>
      <c r="P4" s="1" t="str">
        <f ca="1">IF(P$2=O4,"*","")</f>
        <v/>
      </c>
      <c r="Q4" s="4">
        <v>1</v>
      </c>
      <c r="R4" s="4">
        <v>1</v>
      </c>
      <c r="S4" s="4">
        <v>1</v>
      </c>
      <c r="T4" s="4">
        <v>1</v>
      </c>
      <c r="U4" s="4">
        <v>0</v>
      </c>
      <c r="V4" s="4">
        <v>0</v>
      </c>
      <c r="W4" s="1"/>
    </row>
    <row r="5" spans="1:25" x14ac:dyDescent="0.25">
      <c r="O5">
        <v>2</v>
      </c>
      <c r="P5" s="1" t="str">
        <f t="shared" ref="P5:P11" ca="1" si="1">IF(P$2=O5,"*","")</f>
        <v/>
      </c>
      <c r="Q5" s="5">
        <v>255</v>
      </c>
      <c r="R5" s="5">
        <v>1</v>
      </c>
      <c r="S5" s="5">
        <v>255</v>
      </c>
      <c r="T5" s="5">
        <v>1</v>
      </c>
      <c r="U5" s="5">
        <v>0</v>
      </c>
      <c r="V5" s="5">
        <v>0</v>
      </c>
      <c r="W5" s="1"/>
    </row>
    <row r="6" spans="1:25" x14ac:dyDescent="0.25">
      <c r="G6" s="2" t="s">
        <v>7</v>
      </c>
      <c r="H6" s="2" t="s">
        <v>6</v>
      </c>
      <c r="O6">
        <v>3</v>
      </c>
      <c r="P6" s="1" t="str">
        <f t="shared" ca="1" si="1"/>
        <v/>
      </c>
      <c r="Q6" s="3">
        <v>1</v>
      </c>
      <c r="R6" s="3">
        <v>255</v>
      </c>
      <c r="S6" s="3">
        <v>255</v>
      </c>
      <c r="T6" s="3">
        <v>0</v>
      </c>
      <c r="U6" s="3">
        <v>0</v>
      </c>
      <c r="V6" s="3">
        <v>1</v>
      </c>
      <c r="W6" s="1"/>
    </row>
    <row r="7" spans="1:25" x14ac:dyDescent="0.25">
      <c r="C7" s="11">
        <f ca="1">RAND()</f>
        <v>0.68747233005097697</v>
      </c>
      <c r="D7" s="11">
        <f t="shared" ref="D7:D9" ca="1" si="2">RAND()</f>
        <v>0.39329558916569751</v>
      </c>
      <c r="E7" s="11"/>
      <c r="F7" s="11"/>
      <c r="G7" s="11">
        <f ca="1">$Y$2*$H$2</f>
        <v>5.0623775581185707E-2</v>
      </c>
      <c r="H7" s="11">
        <f ca="1">$Y$2*$H$2</f>
        <v>5.0623775581185707E-2</v>
      </c>
      <c r="I7" s="11"/>
      <c r="J7" s="11">
        <f ca="1">C7+G7</f>
        <v>0.73809610563216266</v>
      </c>
      <c r="K7" s="11">
        <f t="shared" ref="K7:K9" ca="1" si="3">D7+H7</f>
        <v>0.4439193647468832</v>
      </c>
      <c r="O7">
        <v>4</v>
      </c>
      <c r="P7" s="1" t="str">
        <f t="shared" ca="1" si="1"/>
        <v/>
      </c>
      <c r="Q7" s="9">
        <v>255</v>
      </c>
      <c r="R7" s="9">
        <v>1</v>
      </c>
      <c r="S7" s="9">
        <v>1</v>
      </c>
      <c r="T7" s="9">
        <v>1</v>
      </c>
      <c r="U7" s="9">
        <v>0</v>
      </c>
      <c r="V7" s="9">
        <v>0</v>
      </c>
      <c r="W7" s="1"/>
    </row>
    <row r="8" spans="1:25" x14ac:dyDescent="0.25">
      <c r="C8" s="11">
        <f t="shared" ref="C8:C9" ca="1" si="4">RAND()</f>
        <v>0.88440503805941262</v>
      </c>
      <c r="D8" s="11">
        <f t="shared" ca="1" si="2"/>
        <v>0.3212711395175839</v>
      </c>
      <c r="E8" s="11"/>
      <c r="F8" s="11"/>
      <c r="G8" s="11">
        <f ca="1">$Y$2*$H$3</f>
        <v>-6.3949801929145136E-2</v>
      </c>
      <c r="H8" s="11">
        <f ca="1">$Y$2*$H$3</f>
        <v>-6.3949801929145136E-2</v>
      </c>
      <c r="I8" s="11"/>
      <c r="J8" s="11">
        <f t="shared" ref="J8:J9" ca="1" si="5">C8+G8</f>
        <v>0.8204552361302675</v>
      </c>
      <c r="K8" s="11">
        <f t="shared" ca="1" si="3"/>
        <v>0.25732133758843878</v>
      </c>
      <c r="O8">
        <v>5</v>
      </c>
      <c r="P8" s="1" t="str">
        <f t="shared" ca="1" si="1"/>
        <v>*</v>
      </c>
      <c r="Q8" s="7">
        <v>1</v>
      </c>
      <c r="R8" s="7">
        <v>255</v>
      </c>
      <c r="S8" s="7">
        <v>1</v>
      </c>
      <c r="T8" s="7">
        <v>1</v>
      </c>
      <c r="U8" s="7">
        <v>0</v>
      </c>
      <c r="V8" s="7">
        <v>0</v>
      </c>
      <c r="W8" s="1"/>
    </row>
    <row r="9" spans="1:25" x14ac:dyDescent="0.25">
      <c r="C9" s="11">
        <f t="shared" ca="1" si="4"/>
        <v>0.81453841779320824</v>
      </c>
      <c r="D9" s="11">
        <f t="shared" ca="1" si="2"/>
        <v>0.27920661474448683</v>
      </c>
      <c r="E9" s="11"/>
      <c r="F9" s="11"/>
      <c r="G9" s="11">
        <f ca="1">$Y$2*$H$4</f>
        <v>-4.53500879799342E-2</v>
      </c>
      <c r="H9" s="11">
        <f ca="1">$Y$2*$H$4</f>
        <v>-4.53500879799342E-2</v>
      </c>
      <c r="I9" s="11"/>
      <c r="J9" s="11">
        <f t="shared" ca="1" si="5"/>
        <v>0.76918832981327401</v>
      </c>
      <c r="K9" s="11">
        <f t="shared" ca="1" si="3"/>
        <v>0.23385652676455262</v>
      </c>
      <c r="O9">
        <v>6</v>
      </c>
      <c r="P9" s="1" t="str">
        <f t="shared" ca="1" si="1"/>
        <v/>
      </c>
      <c r="Q9" s="8">
        <v>1</v>
      </c>
      <c r="R9" s="8">
        <v>1</v>
      </c>
      <c r="S9" s="8">
        <v>255</v>
      </c>
      <c r="T9" s="8">
        <v>0</v>
      </c>
      <c r="U9" s="8">
        <v>0</v>
      </c>
      <c r="V9" s="8">
        <v>1</v>
      </c>
      <c r="W9" s="1"/>
    </row>
    <row r="10" spans="1:25" x14ac:dyDescent="0.25">
      <c r="C10" s="11"/>
      <c r="D10" s="11"/>
      <c r="E10" s="11"/>
      <c r="F10" s="11"/>
      <c r="G10" s="11"/>
      <c r="H10" s="11"/>
      <c r="I10" s="11"/>
      <c r="J10" s="11"/>
      <c r="K10" s="11"/>
      <c r="O10">
        <v>7</v>
      </c>
      <c r="P10" s="1" t="str">
        <f t="shared" ca="1" si="1"/>
        <v/>
      </c>
      <c r="Q10" s="6">
        <v>255</v>
      </c>
      <c r="R10" s="6">
        <v>255</v>
      </c>
      <c r="S10" s="6">
        <v>1</v>
      </c>
      <c r="T10" s="6">
        <v>0</v>
      </c>
      <c r="U10" s="6">
        <v>0</v>
      </c>
      <c r="V10" s="6">
        <v>1</v>
      </c>
      <c r="W10" s="1"/>
    </row>
    <row r="11" spans="1:25" x14ac:dyDescent="0.25">
      <c r="C11" s="11"/>
      <c r="D11" s="11"/>
      <c r="E11" s="11"/>
      <c r="F11" s="11"/>
      <c r="G11" s="11"/>
      <c r="H11" s="11"/>
      <c r="I11" s="11"/>
      <c r="J11" s="11"/>
      <c r="K11" s="11"/>
      <c r="O11">
        <v>8</v>
      </c>
      <c r="P11" s="1" t="str">
        <f t="shared" ca="1" si="1"/>
        <v/>
      </c>
      <c r="Q11" s="10">
        <v>255</v>
      </c>
      <c r="R11" s="10">
        <v>255</v>
      </c>
      <c r="S11" s="10">
        <v>255</v>
      </c>
      <c r="T11" s="10">
        <v>0</v>
      </c>
      <c r="U11" s="10">
        <v>0</v>
      </c>
      <c r="V11" s="10">
        <v>1</v>
      </c>
      <c r="W11" s="1"/>
    </row>
    <row r="12" spans="1:25" x14ac:dyDescent="0.25">
      <c r="C12" s="11">
        <f t="shared" ref="C12:D14" ca="1" si="6">RAND()</f>
        <v>0.62934258086774353</v>
      </c>
      <c r="D12" s="11">
        <f t="shared" ca="1" si="6"/>
        <v>0.93074321746218158</v>
      </c>
      <c r="E12" s="11"/>
      <c r="F12" s="11"/>
      <c r="G12" s="11">
        <f ca="1">$Y$2*$H$2</f>
        <v>5.0623775581185707E-2</v>
      </c>
      <c r="H12" s="11">
        <f ca="1">$Y$2*$H$2</f>
        <v>5.0623775581185707E-2</v>
      </c>
      <c r="I12" s="11"/>
      <c r="J12" s="11">
        <f ca="1">C12+G12</f>
        <v>0.67996635644892922</v>
      </c>
      <c r="K12" s="11">
        <f t="shared" ref="K12:K14" ca="1" si="7">D12+H12</f>
        <v>0.98136699304336728</v>
      </c>
    </row>
    <row r="13" spans="1:25" x14ac:dyDescent="0.25">
      <c r="C13" s="11">
        <f t="shared" ca="1" si="6"/>
        <v>0.84764627604085274</v>
      </c>
      <c r="D13" s="11">
        <f t="shared" ca="1" si="6"/>
        <v>0.5075850795920871</v>
      </c>
      <c r="E13" s="11"/>
      <c r="F13" s="11"/>
      <c r="G13" s="11">
        <f ca="1">$Y$2*$H$3</f>
        <v>-6.3949801929145136E-2</v>
      </c>
      <c r="H13" s="11">
        <f ca="1">$Y$2*$H$3</f>
        <v>-6.3949801929145136E-2</v>
      </c>
      <c r="I13" s="11"/>
      <c r="J13" s="11">
        <f t="shared" ref="J13:J14" ca="1" si="8">C13+G13</f>
        <v>0.78369647411170762</v>
      </c>
      <c r="K13" s="11">
        <f t="shared" ca="1" si="7"/>
        <v>0.44363527766294197</v>
      </c>
    </row>
    <row r="14" spans="1:25" x14ac:dyDescent="0.25">
      <c r="C14" s="11">
        <f t="shared" ca="1" si="6"/>
        <v>0.63968892404185695</v>
      </c>
      <c r="D14" s="11">
        <f t="shared" ca="1" si="6"/>
        <v>0.36170604098255088</v>
      </c>
      <c r="E14" s="11"/>
      <c r="F14" s="11"/>
      <c r="G14" s="11">
        <f ca="1">$Y$2*$H$4</f>
        <v>-4.53500879799342E-2</v>
      </c>
      <c r="H14" s="11">
        <f ca="1">$Y$2*$H$4</f>
        <v>-4.53500879799342E-2</v>
      </c>
      <c r="I14" s="11"/>
      <c r="J14" s="11">
        <f t="shared" ca="1" si="8"/>
        <v>0.59433883606192273</v>
      </c>
      <c r="K14" s="11">
        <f t="shared" ca="1" si="7"/>
        <v>0.31635595300261665</v>
      </c>
    </row>
    <row r="15" spans="1:25" x14ac:dyDescent="0.25">
      <c r="C15" s="11"/>
      <c r="D15" s="11"/>
      <c r="E15" s="11"/>
      <c r="F15" s="11"/>
      <c r="G15" s="11"/>
      <c r="H15" s="11"/>
      <c r="I15" s="11"/>
      <c r="J15" s="11"/>
      <c r="K15" s="11"/>
    </row>
    <row r="16" spans="1:25" x14ac:dyDescent="0.25">
      <c r="C16" s="11"/>
      <c r="D16" s="11"/>
      <c r="E16" s="11"/>
      <c r="F16" s="11"/>
      <c r="G16" s="11"/>
      <c r="H16" s="11"/>
      <c r="I16" s="11"/>
      <c r="J16" s="11"/>
      <c r="K16" s="11"/>
    </row>
    <row r="17" spans="3:11" x14ac:dyDescent="0.25">
      <c r="C17" s="11">
        <f t="shared" ref="C17:D19" ca="1" si="9">RAND()</f>
        <v>2.6960770468181461E-2</v>
      </c>
      <c r="D17" s="11">
        <f t="shared" ca="1" si="9"/>
        <v>0.63065562678376108</v>
      </c>
      <c r="E17" s="11"/>
      <c r="F17" s="11"/>
      <c r="G17" s="11">
        <f ca="1">$Y$2*$H$2</f>
        <v>5.0623775581185707E-2</v>
      </c>
      <c r="H17" s="11">
        <f ca="1">$Y$2*$H$2</f>
        <v>5.0623775581185707E-2</v>
      </c>
      <c r="I17" s="11"/>
      <c r="J17" s="11">
        <f ca="1">C17+G17</f>
        <v>7.7584546049367167E-2</v>
      </c>
      <c r="K17" s="11">
        <f t="shared" ref="K17:K19" ca="1" si="10">D17+H17</f>
        <v>0.68127940236494677</v>
      </c>
    </row>
    <row r="18" spans="3:11" x14ac:dyDescent="0.25">
      <c r="C18" s="11">
        <f t="shared" ca="1" si="9"/>
        <v>6.5913506199278382E-2</v>
      </c>
      <c r="D18" s="11">
        <f t="shared" ca="1" si="9"/>
        <v>0.17960689024253795</v>
      </c>
      <c r="E18" s="11"/>
      <c r="F18" s="11"/>
      <c r="G18" s="11">
        <f ca="1">$Y$2*$H$3</f>
        <v>-6.3949801929145136E-2</v>
      </c>
      <c r="H18" s="11">
        <f ca="1">$Y$2*$H$3</f>
        <v>-6.3949801929145136E-2</v>
      </c>
      <c r="I18" s="11"/>
      <c r="J18" s="11">
        <f t="shared" ref="J18:J19" ca="1" si="11">C18+G18</f>
        <v>1.9637042701332458E-3</v>
      </c>
      <c r="K18" s="11">
        <f t="shared" ca="1" si="10"/>
        <v>0.11565708831339282</v>
      </c>
    </row>
    <row r="19" spans="3:11" x14ac:dyDescent="0.25">
      <c r="C19" s="11">
        <f t="shared" ca="1" si="9"/>
        <v>0.50819706564082134</v>
      </c>
      <c r="D19" s="11">
        <f t="shared" ca="1" si="9"/>
        <v>2.4489612528766691E-2</v>
      </c>
      <c r="E19" s="11"/>
      <c r="F19" s="11"/>
      <c r="G19" s="11">
        <f ca="1">$Y$2*$H$4</f>
        <v>-4.53500879799342E-2</v>
      </c>
      <c r="H19" s="11">
        <f ca="1">$Y$2*$H$4</f>
        <v>-4.53500879799342E-2</v>
      </c>
      <c r="I19" s="11"/>
      <c r="J19" s="11">
        <f t="shared" ca="1" si="11"/>
        <v>0.46284697766088712</v>
      </c>
      <c r="K19" s="11">
        <f t="shared" ca="1" si="10"/>
        <v>-2.0860475451167509E-2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ackprop">
                <anchor moveWithCells="1">
                  <from>
                    <xdr:col>9</xdr:col>
                    <xdr:colOff>57150</xdr:colOff>
                    <xdr:row>20</xdr:row>
                    <xdr:rowOff>47625</xdr:rowOff>
                  </from>
                  <to>
                    <xdr:col>10</xdr:col>
                    <xdr:colOff>523875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CtrlSimp</vt:lpstr>
      <vt:lpstr>CtrlNet</vt:lpstr>
      <vt:lpstr>RGB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2018-11-24T16:26:05Z</dcterms:created>
  <dcterms:modified xsi:type="dcterms:W3CDTF">2019-01-04T15:00:45Z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da56be38-10a5-48f1-9a92-407e2e7159c1</vt:lpwstr>
  </property>
</Properties>
</file>